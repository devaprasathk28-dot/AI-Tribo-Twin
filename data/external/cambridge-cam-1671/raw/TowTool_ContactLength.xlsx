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mm25x\Documents\Research\Results\ForGranta\"/>
    </mc:Choice>
  </mc:AlternateContent>
  <bookViews>
    <workbookView xWindow="0" yWindow="0" windowWidth="28800" windowHeight="14235" activeTab="1"/>
  </bookViews>
  <sheets>
    <sheet name="Chart1" sheetId="2" r:id="rId1"/>
    <sheet name="Chart2" sheetId="3" r:id="rId2"/>
    <sheet name="Sheet1" sheetId="1" r:id="rId3"/>
  </sheets>
  <calcPr calcId="162913"/>
</workbook>
</file>

<file path=xl/calcChain.xml><?xml version="1.0" encoding="utf-8"?>
<calcChain xmlns="http://schemas.openxmlformats.org/spreadsheetml/2006/main">
  <c r="B27" i="1" l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26" i="1"/>
  <c r="E13" i="1" l="1"/>
  <c r="J136" i="1" l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36" i="1"/>
  <c r="E136" i="1" s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56" i="1"/>
  <c r="J177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56" i="1"/>
  <c r="E156" i="1" s="1"/>
  <c r="H151" i="1" l="1"/>
  <c r="H147" i="1"/>
  <c r="H139" i="1"/>
  <c r="H146" i="1"/>
  <c r="H138" i="1"/>
  <c r="H144" i="1"/>
  <c r="H136" i="1"/>
  <c r="H150" i="1"/>
  <c r="H159" i="1"/>
  <c r="H141" i="1"/>
  <c r="H148" i="1"/>
  <c r="H156" i="1"/>
  <c r="H142" i="1"/>
  <c r="H149" i="1"/>
  <c r="H157" i="1"/>
  <c r="H140" i="1"/>
  <c r="H158" i="1"/>
  <c r="H143" i="1"/>
  <c r="H145" i="1"/>
  <c r="H137" i="1"/>
  <c r="H161" i="1"/>
  <c r="H168" i="1"/>
  <c r="H166" i="1"/>
  <c r="H165" i="1"/>
  <c r="H163" i="1"/>
  <c r="H167" i="1"/>
  <c r="H160" i="1"/>
  <c r="H170" i="1"/>
  <c r="H164" i="1"/>
  <c r="H162" i="1"/>
  <c r="H169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7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77" i="1"/>
  <c r="E177" i="1" s="1"/>
  <c r="D113" i="1"/>
  <c r="E113" i="1" s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13" i="1"/>
  <c r="H179" i="1" l="1"/>
  <c r="H189" i="1"/>
  <c r="H188" i="1"/>
  <c r="H186" i="1"/>
  <c r="H177" i="1"/>
  <c r="H192" i="1"/>
  <c r="H183" i="1"/>
  <c r="H181" i="1"/>
  <c r="H180" i="1"/>
  <c r="H187" i="1"/>
  <c r="H178" i="1"/>
  <c r="H185" i="1"/>
  <c r="H184" i="1"/>
  <c r="H191" i="1"/>
  <c r="H190" i="1"/>
  <c r="H182" i="1"/>
  <c r="G219" i="1" l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18" i="1"/>
  <c r="G213" i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18" i="1"/>
  <c r="E218" i="1" s="1"/>
  <c r="H233" i="1" l="1"/>
  <c r="H232" i="1"/>
  <c r="H224" i="1"/>
  <c r="H225" i="1"/>
  <c r="H230" i="1"/>
  <c r="H221" i="1"/>
  <c r="H218" i="1"/>
  <c r="H222" i="1"/>
  <c r="H229" i="1"/>
  <c r="H228" i="1"/>
  <c r="H220" i="1"/>
  <c r="H231" i="1"/>
  <c r="H223" i="1"/>
  <c r="H235" i="1"/>
  <c r="H227" i="1"/>
  <c r="H219" i="1"/>
  <c r="H234" i="1"/>
  <c r="H226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128" i="1"/>
  <c r="J121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130" i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H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197" i="1"/>
  <c r="E197" i="1" s="1"/>
  <c r="H197" i="1" l="1"/>
  <c r="H212" i="1"/>
  <c r="H204" i="1"/>
  <c r="H211" i="1"/>
  <c r="H203" i="1"/>
  <c r="H210" i="1"/>
  <c r="H202" i="1"/>
  <c r="H209" i="1"/>
  <c r="H201" i="1"/>
  <c r="H208" i="1"/>
  <c r="H200" i="1"/>
  <c r="H207" i="1"/>
  <c r="H199" i="1"/>
  <c r="H198" i="1"/>
  <c r="H213" i="1"/>
  <c r="H205" i="1"/>
  <c r="E12" i="1"/>
  <c r="P212" i="1" l="1"/>
  <c r="P177" i="1"/>
  <c r="P140" i="1"/>
  <c r="P142" i="1"/>
  <c r="P162" i="1"/>
  <c r="P169" i="1"/>
  <c r="P137" i="1"/>
  <c r="P149" i="1"/>
  <c r="P141" i="1"/>
  <c r="P166" i="1"/>
  <c r="P159" i="1"/>
  <c r="P164" i="1"/>
  <c r="P139" i="1"/>
  <c r="P156" i="1"/>
  <c r="P158" i="1"/>
  <c r="P144" i="1"/>
  <c r="P138" i="1"/>
  <c r="P168" i="1"/>
  <c r="P157" i="1"/>
  <c r="P147" i="1"/>
  <c r="P167" i="1"/>
  <c r="P170" i="1"/>
  <c r="P145" i="1"/>
  <c r="P146" i="1"/>
  <c r="P161" i="1"/>
  <c r="P160" i="1"/>
  <c r="P165" i="1"/>
  <c r="P151" i="1"/>
  <c r="P163" i="1"/>
  <c r="P150" i="1"/>
  <c r="P143" i="1"/>
  <c r="P148" i="1"/>
  <c r="P136" i="1"/>
  <c r="P186" i="1"/>
  <c r="P222" i="1"/>
  <c r="P224" i="1"/>
  <c r="P235" i="1"/>
  <c r="P226" i="1"/>
  <c r="P179" i="1"/>
  <c r="P180" i="1"/>
  <c r="P228" i="1"/>
  <c r="P181" i="1"/>
  <c r="P233" i="1"/>
  <c r="P192" i="1"/>
  <c r="P232" i="1"/>
  <c r="P221" i="1"/>
  <c r="P231" i="1"/>
  <c r="P182" i="1"/>
  <c r="P234" i="1"/>
  <c r="P184" i="1"/>
  <c r="P178" i="1"/>
  <c r="P227" i="1"/>
  <c r="P218" i="1"/>
  <c r="P229" i="1"/>
  <c r="P223" i="1"/>
  <c r="P219" i="1"/>
  <c r="P188" i="1"/>
  <c r="P191" i="1"/>
  <c r="P185" i="1"/>
  <c r="P189" i="1"/>
  <c r="P230" i="1"/>
  <c r="P220" i="1"/>
  <c r="P225" i="1"/>
  <c r="P190" i="1"/>
  <c r="P197" i="1"/>
  <c r="P183" i="1"/>
  <c r="P187" i="1"/>
  <c r="P199" i="1"/>
  <c r="P209" i="1"/>
  <c r="P198" i="1"/>
  <c r="P208" i="1"/>
  <c r="P206" i="1"/>
  <c r="P207" i="1"/>
  <c r="P200" i="1"/>
  <c r="P210" i="1"/>
  <c r="P203" i="1"/>
  <c r="P201" i="1"/>
  <c r="P202" i="1"/>
  <c r="P211" i="1"/>
  <c r="P205" i="1"/>
  <c r="P213" i="1"/>
  <c r="P204" i="1"/>
  <c r="J113" i="1" l="1"/>
  <c r="P113" i="1" s="1"/>
  <c r="J114" i="1"/>
  <c r="P114" i="1" s="1"/>
  <c r="J115" i="1"/>
  <c r="P115" i="1" s="1"/>
  <c r="J116" i="1"/>
  <c r="P116" i="1" s="1"/>
  <c r="J117" i="1"/>
  <c r="P117" i="1" s="1"/>
  <c r="J118" i="1"/>
  <c r="P118" i="1" s="1"/>
  <c r="J119" i="1"/>
  <c r="P119" i="1" s="1"/>
  <c r="J120" i="1"/>
  <c r="P120" i="1" s="1"/>
  <c r="P121" i="1"/>
  <c r="J122" i="1"/>
  <c r="P122" i="1" s="1"/>
  <c r="J123" i="1"/>
  <c r="P123" i="1" s="1"/>
  <c r="J124" i="1"/>
  <c r="P124" i="1" s="1"/>
  <c r="J125" i="1"/>
  <c r="P125" i="1" s="1"/>
  <c r="J126" i="1"/>
  <c r="P126" i="1" s="1"/>
  <c r="J127" i="1"/>
  <c r="P127" i="1" s="1"/>
  <c r="P128" i="1"/>
  <c r="J129" i="1"/>
  <c r="P129" i="1" s="1"/>
  <c r="J130" i="1"/>
  <c r="P130" i="1" s="1"/>
  <c r="J108" i="1"/>
  <c r="G114" i="1" l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13" i="1"/>
  <c r="D130" i="1"/>
  <c r="E130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J76" i="1"/>
  <c r="P76" i="1" s="1"/>
  <c r="J77" i="1"/>
  <c r="P77" i="1" s="1"/>
  <c r="J78" i="1"/>
  <c r="P78" i="1" s="1"/>
  <c r="J79" i="1"/>
  <c r="P79" i="1" s="1"/>
  <c r="J80" i="1"/>
  <c r="P80" i="1" s="1"/>
  <c r="J81" i="1"/>
  <c r="P81" i="1" s="1"/>
  <c r="J82" i="1"/>
  <c r="P82" i="1" s="1"/>
  <c r="J83" i="1"/>
  <c r="P83" i="1" s="1"/>
  <c r="J84" i="1"/>
  <c r="P84" i="1" s="1"/>
  <c r="J85" i="1"/>
  <c r="P85" i="1" s="1"/>
  <c r="J86" i="1"/>
  <c r="P86" i="1" s="1"/>
  <c r="J87" i="1"/>
  <c r="P87" i="1" s="1"/>
  <c r="J75" i="1"/>
  <c r="P75" i="1" s="1"/>
  <c r="D94" i="1"/>
  <c r="E94" i="1" s="1"/>
  <c r="E11" i="1"/>
  <c r="J93" i="1"/>
  <c r="P93" i="1" s="1"/>
  <c r="J94" i="1"/>
  <c r="P94" i="1" s="1"/>
  <c r="J95" i="1"/>
  <c r="P95" i="1" s="1"/>
  <c r="J96" i="1"/>
  <c r="P96" i="1" s="1"/>
  <c r="J97" i="1"/>
  <c r="P97" i="1" s="1"/>
  <c r="J98" i="1"/>
  <c r="P98" i="1" s="1"/>
  <c r="J99" i="1"/>
  <c r="P99" i="1" s="1"/>
  <c r="J100" i="1"/>
  <c r="P100" i="1" s="1"/>
  <c r="J101" i="1"/>
  <c r="P101" i="1" s="1"/>
  <c r="J102" i="1"/>
  <c r="P102" i="1" s="1"/>
  <c r="J103" i="1"/>
  <c r="P103" i="1" s="1"/>
  <c r="J104" i="1"/>
  <c r="P104" i="1" s="1"/>
  <c r="J105" i="1"/>
  <c r="P105" i="1" s="1"/>
  <c r="J106" i="1"/>
  <c r="P106" i="1" s="1"/>
  <c r="J107" i="1"/>
  <c r="P107" i="1" s="1"/>
  <c r="P108" i="1"/>
  <c r="J92" i="1"/>
  <c r="P92" i="1" s="1"/>
  <c r="J71" i="1"/>
  <c r="P71" i="1" s="1"/>
  <c r="J72" i="1"/>
  <c r="P72" i="1" s="1"/>
  <c r="J73" i="1"/>
  <c r="P73" i="1" s="1"/>
  <c r="J74" i="1"/>
  <c r="P74" i="1" s="1"/>
  <c r="J70" i="1"/>
  <c r="P70" i="1" s="1"/>
  <c r="J49" i="1"/>
  <c r="P49" i="1" s="1"/>
  <c r="J50" i="1"/>
  <c r="P50" i="1" s="1"/>
  <c r="J51" i="1"/>
  <c r="P51" i="1" s="1"/>
  <c r="J52" i="1"/>
  <c r="P52" i="1" s="1"/>
  <c r="J53" i="1"/>
  <c r="P53" i="1" s="1"/>
  <c r="J54" i="1"/>
  <c r="P54" i="1" s="1"/>
  <c r="J55" i="1"/>
  <c r="P55" i="1" s="1"/>
  <c r="J56" i="1"/>
  <c r="P56" i="1" s="1"/>
  <c r="J57" i="1"/>
  <c r="P57" i="1" s="1"/>
  <c r="J58" i="1"/>
  <c r="P58" i="1" s="1"/>
  <c r="J59" i="1"/>
  <c r="P59" i="1" s="1"/>
  <c r="J60" i="1"/>
  <c r="P60" i="1" s="1"/>
  <c r="J61" i="1"/>
  <c r="P61" i="1" s="1"/>
  <c r="J62" i="1"/>
  <c r="P62" i="1" s="1"/>
  <c r="J63" i="1"/>
  <c r="P63" i="1" s="1"/>
  <c r="J64" i="1"/>
  <c r="P64" i="1" s="1"/>
  <c r="J65" i="1"/>
  <c r="P65" i="1" s="1"/>
  <c r="J48" i="1"/>
  <c r="P48" i="1" s="1"/>
  <c r="J27" i="1"/>
  <c r="P27" i="1" s="1"/>
  <c r="J28" i="1"/>
  <c r="P28" i="1" s="1"/>
  <c r="J29" i="1"/>
  <c r="P29" i="1" s="1"/>
  <c r="J30" i="1"/>
  <c r="P30" i="1" s="1"/>
  <c r="J31" i="1"/>
  <c r="P31" i="1" s="1"/>
  <c r="J32" i="1"/>
  <c r="P32" i="1" s="1"/>
  <c r="J33" i="1"/>
  <c r="P33" i="1" s="1"/>
  <c r="J34" i="1"/>
  <c r="P34" i="1" s="1"/>
  <c r="J35" i="1"/>
  <c r="P35" i="1" s="1"/>
  <c r="J36" i="1"/>
  <c r="P36" i="1" s="1"/>
  <c r="J37" i="1"/>
  <c r="P37" i="1" s="1"/>
  <c r="J38" i="1"/>
  <c r="P38" i="1" s="1"/>
  <c r="J39" i="1"/>
  <c r="P39" i="1" s="1"/>
  <c r="J40" i="1"/>
  <c r="P40" i="1" s="1"/>
  <c r="J41" i="1"/>
  <c r="P41" i="1" s="1"/>
  <c r="J42" i="1"/>
  <c r="P42" i="1" s="1"/>
  <c r="J43" i="1"/>
  <c r="P43" i="1" s="1"/>
  <c r="J26" i="1"/>
  <c r="P26" i="1" s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92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70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48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26" i="1"/>
  <c r="K145" i="1" l="1"/>
  <c r="L145" i="1" s="1"/>
  <c r="M145" i="1" s="1"/>
  <c r="N145" i="1" s="1"/>
  <c r="K144" i="1"/>
  <c r="L144" i="1" s="1"/>
  <c r="M144" i="1" s="1"/>
  <c r="N144" i="1" s="1"/>
  <c r="K156" i="1"/>
  <c r="L156" i="1" s="1"/>
  <c r="M156" i="1" s="1"/>
  <c r="N156" i="1" s="1"/>
  <c r="K146" i="1"/>
  <c r="L146" i="1" s="1"/>
  <c r="M146" i="1" s="1"/>
  <c r="N146" i="1" s="1"/>
  <c r="K151" i="1"/>
  <c r="L151" i="1" s="1"/>
  <c r="M151" i="1" s="1"/>
  <c r="N151" i="1" s="1"/>
  <c r="K163" i="1"/>
  <c r="L163" i="1" s="1"/>
  <c r="M163" i="1" s="1"/>
  <c r="N163" i="1" s="1"/>
  <c r="K143" i="1"/>
  <c r="L143" i="1" s="1"/>
  <c r="M143" i="1" s="1"/>
  <c r="N143" i="1" s="1"/>
  <c r="K170" i="1"/>
  <c r="L170" i="1" s="1"/>
  <c r="M170" i="1" s="1"/>
  <c r="N170" i="1" s="1"/>
  <c r="K147" i="1"/>
  <c r="L147" i="1" s="1"/>
  <c r="M147" i="1" s="1"/>
  <c r="N147" i="1" s="1"/>
  <c r="K140" i="1"/>
  <c r="L140" i="1" s="1"/>
  <c r="M140" i="1" s="1"/>
  <c r="N140" i="1" s="1"/>
  <c r="K141" i="1"/>
  <c r="L141" i="1" s="1"/>
  <c r="M141" i="1" s="1"/>
  <c r="N141" i="1" s="1"/>
  <c r="K166" i="1"/>
  <c r="L166" i="1" s="1"/>
  <c r="M166" i="1" s="1"/>
  <c r="N166" i="1" s="1"/>
  <c r="K137" i="1"/>
  <c r="L137" i="1" s="1"/>
  <c r="M137" i="1" s="1"/>
  <c r="N137" i="1" s="1"/>
  <c r="K161" i="1"/>
  <c r="L161" i="1" s="1"/>
  <c r="M161" i="1" s="1"/>
  <c r="N161" i="1" s="1"/>
  <c r="K167" i="1"/>
  <c r="L167" i="1" s="1"/>
  <c r="M167" i="1" s="1"/>
  <c r="N167" i="1" s="1"/>
  <c r="K142" i="1"/>
  <c r="L142" i="1" s="1"/>
  <c r="M142" i="1" s="1"/>
  <c r="N142" i="1" s="1"/>
  <c r="K136" i="1"/>
  <c r="L136" i="1" s="1"/>
  <c r="M136" i="1" s="1"/>
  <c r="N136" i="1" s="1"/>
  <c r="K169" i="1"/>
  <c r="L169" i="1" s="1"/>
  <c r="M169" i="1" s="1"/>
  <c r="N169" i="1" s="1"/>
  <c r="K157" i="1"/>
  <c r="L157" i="1" s="1"/>
  <c r="M157" i="1" s="1"/>
  <c r="N157" i="1" s="1"/>
  <c r="K148" i="1"/>
  <c r="L148" i="1" s="1"/>
  <c r="M148" i="1" s="1"/>
  <c r="N148" i="1" s="1"/>
  <c r="K150" i="1"/>
  <c r="L150" i="1" s="1"/>
  <c r="M150" i="1" s="1"/>
  <c r="N150" i="1" s="1"/>
  <c r="K138" i="1"/>
  <c r="L138" i="1" s="1"/>
  <c r="M138" i="1" s="1"/>
  <c r="N138" i="1" s="1"/>
  <c r="K164" i="1"/>
  <c r="L164" i="1" s="1"/>
  <c r="M164" i="1" s="1"/>
  <c r="N164" i="1" s="1"/>
  <c r="K159" i="1"/>
  <c r="L159" i="1" s="1"/>
  <c r="M159" i="1" s="1"/>
  <c r="N159" i="1" s="1"/>
  <c r="K139" i="1"/>
  <c r="L139" i="1" s="1"/>
  <c r="M139" i="1" s="1"/>
  <c r="N139" i="1" s="1"/>
  <c r="K162" i="1"/>
  <c r="L162" i="1" s="1"/>
  <c r="M162" i="1" s="1"/>
  <c r="N162" i="1" s="1"/>
  <c r="K165" i="1"/>
  <c r="L165" i="1" s="1"/>
  <c r="M165" i="1" s="1"/>
  <c r="N165" i="1" s="1"/>
  <c r="K149" i="1"/>
  <c r="L149" i="1" s="1"/>
  <c r="M149" i="1" s="1"/>
  <c r="N149" i="1" s="1"/>
  <c r="K168" i="1"/>
  <c r="L168" i="1" s="1"/>
  <c r="M168" i="1" s="1"/>
  <c r="N168" i="1" s="1"/>
  <c r="K160" i="1"/>
  <c r="L160" i="1" s="1"/>
  <c r="M160" i="1" s="1"/>
  <c r="N160" i="1" s="1"/>
  <c r="K158" i="1"/>
  <c r="L158" i="1" s="1"/>
  <c r="M158" i="1" s="1"/>
  <c r="N158" i="1" s="1"/>
  <c r="K178" i="1"/>
  <c r="L178" i="1" s="1"/>
  <c r="M178" i="1" s="1"/>
  <c r="N178" i="1" s="1"/>
  <c r="K186" i="1"/>
  <c r="L186" i="1" s="1"/>
  <c r="M186" i="1" s="1"/>
  <c r="N186" i="1" s="1"/>
  <c r="K185" i="1"/>
  <c r="L185" i="1" s="1"/>
  <c r="M185" i="1" s="1"/>
  <c r="N185" i="1" s="1"/>
  <c r="K177" i="1"/>
  <c r="L177" i="1" s="1"/>
  <c r="M177" i="1" s="1"/>
  <c r="N177" i="1" s="1"/>
  <c r="K184" i="1"/>
  <c r="L184" i="1" s="1"/>
  <c r="M184" i="1" s="1"/>
  <c r="N184" i="1" s="1"/>
  <c r="K179" i="1"/>
  <c r="L179" i="1" s="1"/>
  <c r="M179" i="1" s="1"/>
  <c r="N179" i="1" s="1"/>
  <c r="K180" i="1"/>
  <c r="L180" i="1" s="1"/>
  <c r="M180" i="1" s="1"/>
  <c r="N180" i="1" s="1"/>
  <c r="K189" i="1"/>
  <c r="L189" i="1" s="1"/>
  <c r="M189" i="1" s="1"/>
  <c r="N189" i="1" s="1"/>
  <c r="K192" i="1"/>
  <c r="L192" i="1" s="1"/>
  <c r="M192" i="1" s="1"/>
  <c r="N192" i="1" s="1"/>
  <c r="K191" i="1"/>
  <c r="L191" i="1" s="1"/>
  <c r="M191" i="1" s="1"/>
  <c r="N191" i="1" s="1"/>
  <c r="K187" i="1"/>
  <c r="L187" i="1" s="1"/>
  <c r="M187" i="1" s="1"/>
  <c r="N187" i="1" s="1"/>
  <c r="K183" i="1"/>
  <c r="L183" i="1" s="1"/>
  <c r="M183" i="1" s="1"/>
  <c r="N183" i="1" s="1"/>
  <c r="K190" i="1"/>
  <c r="L190" i="1" s="1"/>
  <c r="M190" i="1" s="1"/>
  <c r="N190" i="1" s="1"/>
  <c r="K188" i="1"/>
  <c r="L188" i="1" s="1"/>
  <c r="M188" i="1" s="1"/>
  <c r="N188" i="1" s="1"/>
  <c r="K181" i="1"/>
  <c r="L181" i="1" s="1"/>
  <c r="M181" i="1" s="1"/>
  <c r="N181" i="1" s="1"/>
  <c r="K182" i="1"/>
  <c r="L182" i="1" s="1"/>
  <c r="M182" i="1" s="1"/>
  <c r="N182" i="1" s="1"/>
  <c r="K197" i="1"/>
  <c r="L197" i="1" s="1"/>
  <c r="M197" i="1" s="1"/>
  <c r="N197" i="1" s="1"/>
  <c r="K232" i="1"/>
  <c r="L232" i="1" s="1"/>
  <c r="M232" i="1" s="1"/>
  <c r="N232" i="1" s="1"/>
  <c r="K225" i="1"/>
  <c r="L225" i="1" s="1"/>
  <c r="M225" i="1" s="1"/>
  <c r="N225" i="1" s="1"/>
  <c r="K224" i="1"/>
  <c r="L224" i="1" s="1"/>
  <c r="M224" i="1" s="1"/>
  <c r="N224" i="1" s="1"/>
  <c r="K233" i="1"/>
  <c r="L233" i="1" s="1"/>
  <c r="M233" i="1" s="1"/>
  <c r="N233" i="1" s="1"/>
  <c r="K230" i="1"/>
  <c r="L230" i="1" s="1"/>
  <c r="M230" i="1" s="1"/>
  <c r="N230" i="1" s="1"/>
  <c r="K219" i="1"/>
  <c r="L219" i="1" s="1"/>
  <c r="M219" i="1" s="1"/>
  <c r="N219" i="1" s="1"/>
  <c r="K220" i="1"/>
  <c r="L220" i="1" s="1"/>
  <c r="M220" i="1" s="1"/>
  <c r="N220" i="1" s="1"/>
  <c r="K234" i="1"/>
  <c r="L234" i="1" s="1"/>
  <c r="M234" i="1" s="1"/>
  <c r="N234" i="1" s="1"/>
  <c r="K229" i="1"/>
  <c r="L229" i="1" s="1"/>
  <c r="M229" i="1" s="1"/>
  <c r="N229" i="1" s="1"/>
  <c r="K231" i="1"/>
  <c r="L231" i="1" s="1"/>
  <c r="M231" i="1" s="1"/>
  <c r="N231" i="1" s="1"/>
  <c r="K226" i="1"/>
  <c r="L226" i="1" s="1"/>
  <c r="M226" i="1" s="1"/>
  <c r="N226" i="1" s="1"/>
  <c r="K228" i="1"/>
  <c r="L228" i="1" s="1"/>
  <c r="M228" i="1" s="1"/>
  <c r="N228" i="1" s="1"/>
  <c r="K222" i="1"/>
  <c r="L222" i="1" s="1"/>
  <c r="M222" i="1" s="1"/>
  <c r="N222" i="1" s="1"/>
  <c r="K227" i="1"/>
  <c r="L227" i="1" s="1"/>
  <c r="M227" i="1" s="1"/>
  <c r="N227" i="1" s="1"/>
  <c r="K221" i="1"/>
  <c r="L221" i="1" s="1"/>
  <c r="M221" i="1" s="1"/>
  <c r="N221" i="1" s="1"/>
  <c r="K218" i="1"/>
  <c r="L218" i="1" s="1"/>
  <c r="M218" i="1" s="1"/>
  <c r="N218" i="1" s="1"/>
  <c r="K223" i="1"/>
  <c r="L223" i="1" s="1"/>
  <c r="M223" i="1" s="1"/>
  <c r="N223" i="1" s="1"/>
  <c r="K235" i="1"/>
  <c r="L235" i="1" s="1"/>
  <c r="M235" i="1" s="1"/>
  <c r="N235" i="1" s="1"/>
  <c r="K213" i="1"/>
  <c r="L213" i="1" s="1"/>
  <c r="M213" i="1" s="1"/>
  <c r="N213" i="1" s="1"/>
  <c r="H126" i="1"/>
  <c r="K212" i="1"/>
  <c r="L212" i="1" s="1"/>
  <c r="M212" i="1" s="1"/>
  <c r="N212" i="1" s="1"/>
  <c r="K203" i="1"/>
  <c r="L203" i="1" s="1"/>
  <c r="M203" i="1" s="1"/>
  <c r="N203" i="1" s="1"/>
  <c r="K209" i="1"/>
  <c r="L209" i="1" s="1"/>
  <c r="M209" i="1" s="1"/>
  <c r="N209" i="1" s="1"/>
  <c r="K204" i="1"/>
  <c r="L204" i="1" s="1"/>
  <c r="M204" i="1" s="1"/>
  <c r="N204" i="1" s="1"/>
  <c r="K207" i="1"/>
  <c r="L207" i="1" s="1"/>
  <c r="M207" i="1" s="1"/>
  <c r="N207" i="1" s="1"/>
  <c r="K201" i="1"/>
  <c r="L201" i="1" s="1"/>
  <c r="M201" i="1" s="1"/>
  <c r="N201" i="1" s="1"/>
  <c r="K199" i="1"/>
  <c r="L199" i="1" s="1"/>
  <c r="M199" i="1" s="1"/>
  <c r="N199" i="1" s="1"/>
  <c r="K210" i="1"/>
  <c r="L210" i="1" s="1"/>
  <c r="M210" i="1" s="1"/>
  <c r="N210" i="1" s="1"/>
  <c r="K198" i="1"/>
  <c r="L198" i="1" s="1"/>
  <c r="M198" i="1" s="1"/>
  <c r="N198" i="1" s="1"/>
  <c r="K202" i="1"/>
  <c r="L202" i="1" s="1"/>
  <c r="M202" i="1" s="1"/>
  <c r="N202" i="1" s="1"/>
  <c r="K206" i="1"/>
  <c r="L206" i="1" s="1"/>
  <c r="M206" i="1" s="1"/>
  <c r="N206" i="1" s="1"/>
  <c r="K200" i="1"/>
  <c r="L200" i="1" s="1"/>
  <c r="M200" i="1" s="1"/>
  <c r="N200" i="1" s="1"/>
  <c r="K211" i="1"/>
  <c r="L211" i="1" s="1"/>
  <c r="M211" i="1" s="1"/>
  <c r="N211" i="1" s="1"/>
  <c r="K208" i="1"/>
  <c r="L208" i="1" s="1"/>
  <c r="M208" i="1" s="1"/>
  <c r="N208" i="1" s="1"/>
  <c r="K205" i="1"/>
  <c r="L205" i="1" s="1"/>
  <c r="M205" i="1" s="1"/>
  <c r="N205" i="1" s="1"/>
  <c r="K130" i="1"/>
  <c r="L130" i="1" s="1"/>
  <c r="M130" i="1" s="1"/>
  <c r="N130" i="1" s="1"/>
  <c r="H130" i="1"/>
  <c r="K124" i="1"/>
  <c r="L124" i="1" s="1"/>
  <c r="M124" i="1" s="1"/>
  <c r="N124" i="1" s="1"/>
  <c r="K113" i="1"/>
  <c r="L113" i="1" s="1"/>
  <c r="M113" i="1" s="1"/>
  <c r="N113" i="1" s="1"/>
  <c r="K123" i="1"/>
  <c r="L123" i="1" s="1"/>
  <c r="M123" i="1" s="1"/>
  <c r="N123" i="1" s="1"/>
  <c r="K115" i="1"/>
  <c r="L115" i="1" s="1"/>
  <c r="M115" i="1" s="1"/>
  <c r="N115" i="1" s="1"/>
  <c r="K122" i="1"/>
  <c r="L122" i="1" s="1"/>
  <c r="M122" i="1" s="1"/>
  <c r="N122" i="1" s="1"/>
  <c r="K126" i="1"/>
  <c r="L126" i="1" s="1"/>
  <c r="M126" i="1" s="1"/>
  <c r="N126" i="1" s="1"/>
  <c r="K118" i="1"/>
  <c r="L118" i="1" s="1"/>
  <c r="M118" i="1" s="1"/>
  <c r="N118" i="1" s="1"/>
  <c r="K125" i="1"/>
  <c r="L125" i="1" s="1"/>
  <c r="M125" i="1" s="1"/>
  <c r="N125" i="1" s="1"/>
  <c r="K117" i="1"/>
  <c r="L117" i="1" s="1"/>
  <c r="M117" i="1" s="1"/>
  <c r="N117" i="1" s="1"/>
  <c r="K129" i="1"/>
  <c r="L129" i="1" s="1"/>
  <c r="M129" i="1" s="1"/>
  <c r="N129" i="1" s="1"/>
  <c r="K121" i="1"/>
  <c r="L121" i="1" s="1"/>
  <c r="M121" i="1" s="1"/>
  <c r="N121" i="1" s="1"/>
  <c r="K114" i="1"/>
  <c r="L114" i="1" s="1"/>
  <c r="M114" i="1" s="1"/>
  <c r="N114" i="1" s="1"/>
  <c r="K128" i="1"/>
  <c r="L128" i="1" s="1"/>
  <c r="M128" i="1" s="1"/>
  <c r="N128" i="1" s="1"/>
  <c r="K120" i="1"/>
  <c r="L120" i="1" s="1"/>
  <c r="M120" i="1" s="1"/>
  <c r="N120" i="1" s="1"/>
  <c r="K127" i="1"/>
  <c r="L127" i="1" s="1"/>
  <c r="M127" i="1" s="1"/>
  <c r="N127" i="1" s="1"/>
  <c r="K119" i="1"/>
  <c r="L119" i="1" s="1"/>
  <c r="M119" i="1" s="1"/>
  <c r="N119" i="1" s="1"/>
  <c r="H129" i="1"/>
  <c r="H121" i="1"/>
  <c r="H118" i="1"/>
  <c r="H120" i="1"/>
  <c r="H116" i="1"/>
  <c r="K116" i="1"/>
  <c r="L116" i="1" s="1"/>
  <c r="M116" i="1" s="1"/>
  <c r="N116" i="1" s="1"/>
  <c r="H117" i="1"/>
  <c r="H115" i="1"/>
  <c r="H128" i="1"/>
  <c r="H127" i="1"/>
  <c r="H119" i="1"/>
  <c r="H125" i="1"/>
  <c r="H124" i="1"/>
  <c r="H123" i="1"/>
  <c r="H114" i="1"/>
  <c r="H122" i="1"/>
  <c r="H113" i="1"/>
  <c r="H94" i="1"/>
  <c r="K94" i="1"/>
  <c r="L94" i="1" s="1"/>
  <c r="M94" i="1" s="1"/>
  <c r="N94" i="1" s="1"/>
  <c r="D52" i="1"/>
  <c r="E52" i="1" s="1"/>
  <c r="D53" i="1"/>
  <c r="E53" i="1" s="1"/>
  <c r="D51" i="1"/>
  <c r="D48" i="1"/>
  <c r="K53" i="1" l="1"/>
  <c r="L53" i="1" s="1"/>
  <c r="M53" i="1" s="1"/>
  <c r="N53" i="1" s="1"/>
  <c r="H53" i="1"/>
  <c r="K52" i="1"/>
  <c r="L52" i="1" s="1"/>
  <c r="M52" i="1" s="1"/>
  <c r="N52" i="1" s="1"/>
  <c r="H52" i="1"/>
  <c r="E51" i="1"/>
  <c r="E48" i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0" i="1"/>
  <c r="E50" i="1" s="1"/>
  <c r="D49" i="1"/>
  <c r="E49" i="1" s="1"/>
  <c r="D93" i="1"/>
  <c r="E93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92" i="1"/>
  <c r="E92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26" i="1"/>
  <c r="E26" i="1" s="1"/>
  <c r="H26" i="1" l="1"/>
  <c r="K26" i="1"/>
  <c r="H36" i="1"/>
  <c r="K36" i="1"/>
  <c r="H28" i="1"/>
  <c r="K28" i="1"/>
  <c r="K103" i="1"/>
  <c r="L103" i="1" s="1"/>
  <c r="M103" i="1" s="1"/>
  <c r="N103" i="1" s="1"/>
  <c r="H103" i="1"/>
  <c r="K95" i="1"/>
  <c r="L95" i="1" s="1"/>
  <c r="M95" i="1" s="1"/>
  <c r="N95" i="1" s="1"/>
  <c r="H95" i="1"/>
  <c r="K56" i="1"/>
  <c r="L56" i="1" s="1"/>
  <c r="M56" i="1" s="1"/>
  <c r="N56" i="1" s="1"/>
  <c r="H56" i="1"/>
  <c r="K64" i="1"/>
  <c r="L64" i="1" s="1"/>
  <c r="M64" i="1" s="1"/>
  <c r="N64" i="1" s="1"/>
  <c r="H64" i="1"/>
  <c r="K35" i="1"/>
  <c r="H35" i="1"/>
  <c r="K27" i="1"/>
  <c r="H27" i="1"/>
  <c r="H102" i="1"/>
  <c r="K102" i="1"/>
  <c r="L102" i="1" s="1"/>
  <c r="M102" i="1" s="1"/>
  <c r="N102" i="1" s="1"/>
  <c r="H93" i="1"/>
  <c r="K93" i="1"/>
  <c r="L93" i="1" s="1"/>
  <c r="M93" i="1" s="1"/>
  <c r="N93" i="1" s="1"/>
  <c r="K57" i="1"/>
  <c r="L57" i="1" s="1"/>
  <c r="M57" i="1" s="1"/>
  <c r="N57" i="1" s="1"/>
  <c r="H57" i="1"/>
  <c r="K65" i="1"/>
  <c r="L65" i="1" s="1"/>
  <c r="M65" i="1" s="1"/>
  <c r="N65" i="1" s="1"/>
  <c r="H65" i="1"/>
  <c r="K42" i="1"/>
  <c r="H42" i="1"/>
  <c r="K34" i="1"/>
  <c r="H34" i="1"/>
  <c r="H92" i="1"/>
  <c r="K92" i="1"/>
  <c r="L92" i="1" s="1"/>
  <c r="M92" i="1" s="1"/>
  <c r="N92" i="1" s="1"/>
  <c r="H101" i="1"/>
  <c r="K101" i="1"/>
  <c r="L101" i="1" s="1"/>
  <c r="M101" i="1" s="1"/>
  <c r="N101" i="1" s="1"/>
  <c r="K58" i="1"/>
  <c r="L58" i="1" s="1"/>
  <c r="M58" i="1" s="1"/>
  <c r="N58" i="1" s="1"/>
  <c r="H58" i="1"/>
  <c r="K41" i="1"/>
  <c r="H41" i="1"/>
  <c r="K33" i="1"/>
  <c r="H33" i="1"/>
  <c r="H108" i="1"/>
  <c r="K108" i="1"/>
  <c r="L108" i="1" s="1"/>
  <c r="M108" i="1" s="1"/>
  <c r="N108" i="1" s="1"/>
  <c r="H100" i="1"/>
  <c r="K100" i="1"/>
  <c r="L100" i="1" s="1"/>
  <c r="M100" i="1" s="1"/>
  <c r="N100" i="1" s="1"/>
  <c r="K59" i="1"/>
  <c r="L59" i="1" s="1"/>
  <c r="M59" i="1" s="1"/>
  <c r="N59" i="1" s="1"/>
  <c r="H59" i="1"/>
  <c r="K40" i="1"/>
  <c r="H40" i="1"/>
  <c r="K32" i="1"/>
  <c r="H32" i="1"/>
  <c r="H107" i="1"/>
  <c r="K107" i="1"/>
  <c r="L107" i="1" s="1"/>
  <c r="M107" i="1" s="1"/>
  <c r="N107" i="1" s="1"/>
  <c r="H99" i="1"/>
  <c r="K99" i="1"/>
  <c r="L99" i="1" s="1"/>
  <c r="M99" i="1" s="1"/>
  <c r="N99" i="1" s="1"/>
  <c r="K49" i="1"/>
  <c r="L49" i="1" s="1"/>
  <c r="M49" i="1" s="1"/>
  <c r="N49" i="1" s="1"/>
  <c r="H49" i="1"/>
  <c r="K60" i="1"/>
  <c r="L60" i="1" s="1"/>
  <c r="M60" i="1" s="1"/>
  <c r="N60" i="1" s="1"/>
  <c r="H60" i="1"/>
  <c r="K48" i="1"/>
  <c r="L48" i="1" s="1"/>
  <c r="M48" i="1" s="1"/>
  <c r="N48" i="1" s="1"/>
  <c r="H48" i="1"/>
  <c r="K31" i="1"/>
  <c r="H31" i="1"/>
  <c r="H106" i="1"/>
  <c r="K106" i="1"/>
  <c r="L106" i="1" s="1"/>
  <c r="M106" i="1" s="1"/>
  <c r="N106" i="1" s="1"/>
  <c r="H98" i="1"/>
  <c r="K98" i="1"/>
  <c r="L98" i="1" s="1"/>
  <c r="M98" i="1" s="1"/>
  <c r="N98" i="1" s="1"/>
  <c r="K50" i="1"/>
  <c r="L50" i="1" s="1"/>
  <c r="M50" i="1" s="1"/>
  <c r="N50" i="1" s="1"/>
  <c r="H50" i="1"/>
  <c r="K61" i="1"/>
  <c r="L61" i="1" s="1"/>
  <c r="M61" i="1" s="1"/>
  <c r="N61" i="1" s="1"/>
  <c r="H61" i="1"/>
  <c r="K51" i="1"/>
  <c r="L51" i="1" s="1"/>
  <c r="M51" i="1" s="1"/>
  <c r="N51" i="1" s="1"/>
  <c r="H51" i="1"/>
  <c r="K39" i="1"/>
  <c r="H39" i="1"/>
  <c r="H38" i="1"/>
  <c r="K38" i="1"/>
  <c r="H30" i="1"/>
  <c r="K30" i="1"/>
  <c r="K105" i="1"/>
  <c r="L105" i="1" s="1"/>
  <c r="M105" i="1" s="1"/>
  <c r="N105" i="1" s="1"/>
  <c r="H105" i="1"/>
  <c r="K97" i="1"/>
  <c r="L97" i="1" s="1"/>
  <c r="M97" i="1" s="1"/>
  <c r="N97" i="1" s="1"/>
  <c r="H97" i="1"/>
  <c r="H54" i="1"/>
  <c r="K54" i="1"/>
  <c r="L54" i="1" s="1"/>
  <c r="M54" i="1" s="1"/>
  <c r="N54" i="1" s="1"/>
  <c r="H62" i="1"/>
  <c r="K62" i="1"/>
  <c r="L62" i="1" s="1"/>
  <c r="M62" i="1" s="1"/>
  <c r="N62" i="1" s="1"/>
  <c r="K43" i="1"/>
  <c r="H43" i="1"/>
  <c r="H37" i="1"/>
  <c r="K37" i="1"/>
  <c r="H29" i="1"/>
  <c r="K29" i="1"/>
  <c r="K104" i="1"/>
  <c r="L104" i="1" s="1"/>
  <c r="M104" i="1" s="1"/>
  <c r="N104" i="1" s="1"/>
  <c r="H104" i="1"/>
  <c r="K96" i="1"/>
  <c r="L96" i="1" s="1"/>
  <c r="M96" i="1" s="1"/>
  <c r="N96" i="1" s="1"/>
  <c r="H96" i="1"/>
  <c r="K55" i="1"/>
  <c r="L55" i="1" s="1"/>
  <c r="M55" i="1" s="1"/>
  <c r="N55" i="1" s="1"/>
  <c r="H55" i="1"/>
  <c r="K63" i="1"/>
  <c r="L63" i="1" s="1"/>
  <c r="M63" i="1" s="1"/>
  <c r="N63" i="1" s="1"/>
  <c r="H63" i="1"/>
  <c r="L33" i="1" l="1"/>
  <c r="M33" i="1" s="1"/>
  <c r="N33" i="1" s="1"/>
  <c r="R33" i="1"/>
  <c r="S33" i="1" s="1"/>
  <c r="T33" i="1" s="1"/>
  <c r="L35" i="1"/>
  <c r="M35" i="1" s="1"/>
  <c r="N35" i="1" s="1"/>
  <c r="R35" i="1"/>
  <c r="S35" i="1" s="1"/>
  <c r="T35" i="1" s="1"/>
  <c r="L30" i="1"/>
  <c r="M30" i="1" s="1"/>
  <c r="N30" i="1" s="1"/>
  <c r="R30" i="1"/>
  <c r="S30" i="1" s="1"/>
  <c r="T30" i="1" s="1"/>
  <c r="L28" i="1"/>
  <c r="M28" i="1" s="1"/>
  <c r="N28" i="1" s="1"/>
  <c r="R28" i="1"/>
  <c r="S28" i="1" s="1"/>
  <c r="T28" i="1" s="1"/>
  <c r="L34" i="1"/>
  <c r="M34" i="1" s="1"/>
  <c r="N34" i="1" s="1"/>
  <c r="R34" i="1"/>
  <c r="S34" i="1" s="1"/>
  <c r="T34" i="1" s="1"/>
  <c r="L29" i="1"/>
  <c r="M29" i="1" s="1"/>
  <c r="N29" i="1" s="1"/>
  <c r="R29" i="1"/>
  <c r="S29" i="1" s="1"/>
  <c r="T29" i="1" s="1"/>
  <c r="L38" i="1"/>
  <c r="M38" i="1" s="1"/>
  <c r="N38" i="1" s="1"/>
  <c r="R38" i="1"/>
  <c r="S38" i="1" s="1"/>
  <c r="T38" i="1" s="1"/>
  <c r="L36" i="1"/>
  <c r="M36" i="1" s="1"/>
  <c r="N36" i="1" s="1"/>
  <c r="R36" i="1"/>
  <c r="S36" i="1" s="1"/>
  <c r="T36" i="1" s="1"/>
  <c r="L43" i="1"/>
  <c r="M43" i="1" s="1"/>
  <c r="N43" i="1" s="1"/>
  <c r="R43" i="1"/>
  <c r="S43" i="1" s="1"/>
  <c r="T43" i="1" s="1"/>
  <c r="L40" i="1"/>
  <c r="M40" i="1" s="1"/>
  <c r="N40" i="1" s="1"/>
  <c r="R40" i="1"/>
  <c r="S40" i="1" s="1"/>
  <c r="T40" i="1" s="1"/>
  <c r="L31" i="1"/>
  <c r="M31" i="1" s="1"/>
  <c r="N31" i="1" s="1"/>
  <c r="R31" i="1"/>
  <c r="S31" i="1" s="1"/>
  <c r="T31" i="1" s="1"/>
  <c r="L41" i="1"/>
  <c r="M41" i="1" s="1"/>
  <c r="N41" i="1" s="1"/>
  <c r="R41" i="1"/>
  <c r="S41" i="1" s="1"/>
  <c r="T41" i="1" s="1"/>
  <c r="L42" i="1"/>
  <c r="M42" i="1" s="1"/>
  <c r="N42" i="1" s="1"/>
  <c r="R42" i="1"/>
  <c r="S42" i="1" s="1"/>
  <c r="T42" i="1" s="1"/>
  <c r="L37" i="1"/>
  <c r="M37" i="1" s="1"/>
  <c r="N37" i="1" s="1"/>
  <c r="R37" i="1"/>
  <c r="S37" i="1" s="1"/>
  <c r="T37" i="1" s="1"/>
  <c r="L26" i="1"/>
  <c r="M26" i="1" s="1"/>
  <c r="N26" i="1" s="1"/>
  <c r="R26" i="1"/>
  <c r="S26" i="1" s="1"/>
  <c r="T26" i="1" s="1"/>
  <c r="L39" i="1"/>
  <c r="M39" i="1" s="1"/>
  <c r="N39" i="1" s="1"/>
  <c r="R39" i="1"/>
  <c r="S39" i="1" s="1"/>
  <c r="T39" i="1" s="1"/>
  <c r="L32" i="1"/>
  <c r="M32" i="1" s="1"/>
  <c r="N32" i="1" s="1"/>
  <c r="R32" i="1"/>
  <c r="S32" i="1" s="1"/>
  <c r="T32" i="1" s="1"/>
  <c r="L27" i="1"/>
  <c r="M27" i="1" s="1"/>
  <c r="N27" i="1" s="1"/>
  <c r="R27" i="1"/>
  <c r="S27" i="1" s="1"/>
  <c r="T27" i="1" s="1"/>
  <c r="D85" i="1"/>
  <c r="E85" i="1" s="1"/>
  <c r="D77" i="1"/>
  <c r="E77" i="1" s="1"/>
  <c r="D84" i="1"/>
  <c r="E84" i="1" s="1"/>
  <c r="D76" i="1"/>
  <c r="E76" i="1" s="1"/>
  <c r="D83" i="1"/>
  <c r="E83" i="1" s="1"/>
  <c r="D75" i="1"/>
  <c r="E75" i="1" s="1"/>
  <c r="D82" i="1"/>
  <c r="E82" i="1" s="1"/>
  <c r="D74" i="1"/>
  <c r="E74" i="1" s="1"/>
  <c r="D81" i="1"/>
  <c r="E81" i="1" s="1"/>
  <c r="D73" i="1"/>
  <c r="E73" i="1" s="1"/>
  <c r="D80" i="1"/>
  <c r="E80" i="1" s="1"/>
  <c r="D72" i="1"/>
  <c r="E72" i="1" s="1"/>
  <c r="D87" i="1"/>
  <c r="E87" i="1" s="1"/>
  <c r="D79" i="1"/>
  <c r="E79" i="1" s="1"/>
  <c r="D71" i="1"/>
  <c r="E71" i="1" s="1"/>
  <c r="D86" i="1"/>
  <c r="E86" i="1" s="1"/>
  <c r="D78" i="1"/>
  <c r="E78" i="1" s="1"/>
  <c r="D70" i="1"/>
  <c r="E70" i="1" s="1"/>
  <c r="V27" i="1" l="1"/>
  <c r="W35" i="1"/>
  <c r="V26" i="1"/>
  <c r="V38" i="1"/>
  <c r="V39" i="1"/>
  <c r="W31" i="1"/>
  <c r="V35" i="1"/>
  <c r="V43" i="1"/>
  <c r="V34" i="1"/>
  <c r="V36" i="1"/>
  <c r="W30" i="1"/>
  <c r="V32" i="1"/>
  <c r="V42" i="1"/>
  <c r="V40" i="1"/>
  <c r="W41" i="1"/>
  <c r="W27" i="1"/>
  <c r="W33" i="1"/>
  <c r="W39" i="1"/>
  <c r="W36" i="1"/>
  <c r="W42" i="1"/>
  <c r="W34" i="1"/>
  <c r="W40" i="1"/>
  <c r="W26" i="1"/>
  <c r="V41" i="1"/>
  <c r="W38" i="1"/>
  <c r="W28" i="1"/>
  <c r="W32" i="1"/>
  <c r="W43" i="1"/>
  <c r="V28" i="1"/>
  <c r="V33" i="1"/>
  <c r="V37" i="1"/>
  <c r="V29" i="1"/>
  <c r="W37" i="1"/>
  <c r="V31" i="1"/>
  <c r="W29" i="1"/>
  <c r="V30" i="1"/>
  <c r="K78" i="1"/>
  <c r="L78" i="1" s="1"/>
  <c r="M78" i="1" s="1"/>
  <c r="N78" i="1" s="1"/>
  <c r="H78" i="1"/>
  <c r="K87" i="1"/>
  <c r="L87" i="1" s="1"/>
  <c r="M87" i="1" s="1"/>
  <c r="N87" i="1" s="1"/>
  <c r="H87" i="1"/>
  <c r="K83" i="1"/>
  <c r="L83" i="1" s="1"/>
  <c r="M83" i="1" s="1"/>
  <c r="N83" i="1" s="1"/>
  <c r="H83" i="1"/>
  <c r="H72" i="1"/>
  <c r="K72" i="1"/>
  <c r="L72" i="1" s="1"/>
  <c r="M72" i="1" s="1"/>
  <c r="N72" i="1" s="1"/>
  <c r="K76" i="1"/>
  <c r="L76" i="1" s="1"/>
  <c r="M76" i="1" s="1"/>
  <c r="N76" i="1" s="1"/>
  <c r="H76" i="1"/>
  <c r="H80" i="1"/>
  <c r="K80" i="1"/>
  <c r="L80" i="1" s="1"/>
  <c r="M80" i="1" s="1"/>
  <c r="N80" i="1" s="1"/>
  <c r="K84" i="1"/>
  <c r="L84" i="1" s="1"/>
  <c r="M84" i="1" s="1"/>
  <c r="N84" i="1" s="1"/>
  <c r="H84" i="1"/>
  <c r="H70" i="1"/>
  <c r="K70" i="1"/>
  <c r="L70" i="1" s="1"/>
  <c r="M70" i="1" s="1"/>
  <c r="N70" i="1" s="1"/>
  <c r="K73" i="1"/>
  <c r="L73" i="1" s="1"/>
  <c r="M73" i="1" s="1"/>
  <c r="N73" i="1" s="1"/>
  <c r="H73" i="1"/>
  <c r="K77" i="1"/>
  <c r="L77" i="1" s="1"/>
  <c r="M77" i="1" s="1"/>
  <c r="N77" i="1" s="1"/>
  <c r="H77" i="1"/>
  <c r="K81" i="1"/>
  <c r="L81" i="1" s="1"/>
  <c r="M81" i="1" s="1"/>
  <c r="N81" i="1" s="1"/>
  <c r="H81" i="1"/>
  <c r="K85" i="1"/>
  <c r="L85" i="1" s="1"/>
  <c r="M85" i="1" s="1"/>
  <c r="N85" i="1" s="1"/>
  <c r="H85" i="1"/>
  <c r="K86" i="1"/>
  <c r="L86" i="1" s="1"/>
  <c r="M86" i="1" s="1"/>
  <c r="N86" i="1" s="1"/>
  <c r="H86" i="1"/>
  <c r="K74" i="1"/>
  <c r="L74" i="1" s="1"/>
  <c r="M74" i="1" s="1"/>
  <c r="N74" i="1" s="1"/>
  <c r="H74" i="1"/>
  <c r="K71" i="1"/>
  <c r="L71" i="1" s="1"/>
  <c r="M71" i="1" s="1"/>
  <c r="N71" i="1" s="1"/>
  <c r="H71" i="1"/>
  <c r="K82" i="1"/>
  <c r="L82" i="1" s="1"/>
  <c r="M82" i="1" s="1"/>
  <c r="N82" i="1" s="1"/>
  <c r="H82" i="1"/>
  <c r="K79" i="1"/>
  <c r="L79" i="1" s="1"/>
  <c r="M79" i="1" s="1"/>
  <c r="N79" i="1" s="1"/>
  <c r="H79" i="1"/>
  <c r="K75" i="1"/>
  <c r="L75" i="1" s="1"/>
  <c r="M75" i="1" s="1"/>
  <c r="N75" i="1" s="1"/>
  <c r="H75" i="1"/>
</calcChain>
</file>

<file path=xl/sharedStrings.xml><?xml version="1.0" encoding="utf-8"?>
<sst xmlns="http://schemas.openxmlformats.org/spreadsheetml/2006/main" count="170" uniqueCount="41">
  <si>
    <t>Step</t>
  </si>
  <si>
    <t>Ld Cell force (N)</t>
  </si>
  <si>
    <t>Ld Cell Zeroed force (N)</t>
  </si>
  <si>
    <t>Total Load (N)</t>
  </si>
  <si>
    <t>Total Contact Length (pxl)</t>
  </si>
  <si>
    <t>Contact Width (mm)</t>
  </si>
  <si>
    <r>
      <t>Contact Area (mm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</si>
  <si>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Nom Pressure (MPa)</t>
  </si>
  <si>
    <t>Pixel size (μm)</t>
  </si>
  <si>
    <t>Effective Modulus E* (MPa):</t>
  </si>
  <si>
    <t xml:space="preserve">FOV Width (mm): </t>
  </si>
  <si>
    <t xml:space="preserve">FOV Length (mm): </t>
  </si>
  <si>
    <t>Total Scaned field:</t>
  </si>
  <si>
    <t>8 by 5</t>
  </si>
  <si>
    <r>
      <t>Total scanned area (mm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</si>
  <si>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Filament diameter d (m</t>
    </r>
    <r>
      <rPr>
        <sz val="11"/>
        <color theme="1"/>
        <rFont val="Calibri"/>
        <family val="2"/>
      </rPr>
      <t>m)</t>
    </r>
    <r>
      <rPr>
        <sz val="11"/>
        <color theme="1"/>
        <rFont val="Calibri"/>
        <family val="2"/>
        <scheme val="minor"/>
      </rPr>
      <t>:</t>
    </r>
  </si>
  <si>
    <t>Total load on scanned area (N)</t>
  </si>
  <si>
    <t>Contact Half Width a (mm)</t>
  </si>
  <si>
    <t>Total Contact area (mm)</t>
  </si>
  <si>
    <t>% contact area (mm)</t>
  </si>
  <si>
    <r>
      <t>Total Contact Length L</t>
    </r>
    <r>
      <rPr>
        <b/>
        <vertAlign val="subscript"/>
        <sz val="11"/>
        <color theme="1"/>
        <rFont val="Calibri"/>
        <family val="2"/>
        <scheme val="minor"/>
      </rPr>
      <t>mic</t>
    </r>
    <r>
      <rPr>
        <b/>
        <sz val="11"/>
        <color theme="1"/>
        <rFont val="Calibri"/>
        <family val="2"/>
        <scheme val="minor"/>
      </rPr>
      <t xml:space="preserve">  (m</t>
    </r>
    <r>
      <rPr>
        <b/>
        <sz val="11"/>
        <color theme="1"/>
        <rFont val="Calibri"/>
        <family val="2"/>
      </rPr>
      <t>m</t>
    </r>
    <r>
      <rPr>
        <b/>
        <sz val="11"/>
        <color theme="1"/>
        <rFont val="Calibri"/>
        <family val="2"/>
        <scheme val="minor"/>
      </rPr>
      <t>)</t>
    </r>
  </si>
  <si>
    <r>
      <t>Total Contact Length  L</t>
    </r>
    <r>
      <rPr>
        <b/>
        <vertAlign val="subscript"/>
        <sz val="11"/>
        <color theme="1"/>
        <rFont val="Calibri"/>
        <family val="2"/>
        <scheme val="minor"/>
      </rPr>
      <t>mic</t>
    </r>
    <r>
      <rPr>
        <b/>
        <sz val="11"/>
        <color theme="1"/>
        <rFont val="Calibri"/>
        <family val="2"/>
        <scheme val="minor"/>
      </rPr>
      <t xml:space="preserve"> (m</t>
    </r>
    <r>
      <rPr>
        <b/>
        <sz val="11"/>
        <color theme="1"/>
        <rFont val="Calibri"/>
        <family val="2"/>
      </rPr>
      <t>m</t>
    </r>
    <r>
      <rPr>
        <b/>
        <sz val="11"/>
        <color theme="1"/>
        <rFont val="Calibri"/>
        <family val="2"/>
        <scheme val="minor"/>
      </rPr>
      <t>)</t>
    </r>
  </si>
  <si>
    <r>
      <t>Total Ideal Contact Length L</t>
    </r>
    <r>
      <rPr>
        <vertAlign val="subscript"/>
        <sz val="11"/>
        <color theme="1"/>
        <rFont val="Calibri"/>
        <family val="2"/>
        <scheme val="minor"/>
      </rPr>
      <t>ideal</t>
    </r>
    <r>
      <rPr>
        <sz val="11"/>
        <color theme="1"/>
        <rFont val="Calibri"/>
        <family val="2"/>
        <scheme val="minor"/>
      </rPr>
      <t xml:space="preserve"> (m</t>
    </r>
    <r>
      <rPr>
        <sz val="11"/>
        <color theme="1"/>
        <rFont val="Calibri"/>
        <family val="2"/>
      </rPr>
      <t>m</t>
    </r>
    <r>
      <rPr>
        <sz val="11"/>
        <color theme="1"/>
        <rFont val="Calibri"/>
        <family val="2"/>
        <scheme val="minor"/>
      </rPr>
      <t>)</t>
    </r>
  </si>
  <si>
    <t xml:space="preserve">% of ideal Contact Length </t>
  </si>
  <si>
    <t>Contact Half Width a (mm) -ideal case</t>
  </si>
  <si>
    <r>
      <t>Total Contact area (mm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 - ideal case</t>
    </r>
  </si>
  <si>
    <t>% contact area -ideal case</t>
  </si>
  <si>
    <r>
      <t>Total Ideal Contact Length for FOV L</t>
    </r>
    <r>
      <rPr>
        <vertAlign val="subscript"/>
        <sz val="11"/>
        <color theme="1"/>
        <rFont val="Calibri"/>
        <family val="2"/>
        <scheme val="minor"/>
      </rPr>
      <t>ideal</t>
    </r>
    <r>
      <rPr>
        <sz val="11"/>
        <color theme="1"/>
        <rFont val="Calibri"/>
        <family val="2"/>
        <scheme val="minor"/>
      </rPr>
      <t xml:space="preserve"> (m</t>
    </r>
    <r>
      <rPr>
        <sz val="11"/>
        <color theme="1"/>
        <rFont val="Calibri"/>
        <family val="2"/>
      </rPr>
      <t>m</t>
    </r>
    <r>
      <rPr>
        <sz val="11"/>
        <color theme="1"/>
        <rFont val="Calibri"/>
        <family val="2"/>
        <scheme val="minor"/>
      </rPr>
      <t>)</t>
    </r>
  </si>
  <si>
    <t>Test 5</t>
  </si>
  <si>
    <t>Test 1</t>
  </si>
  <si>
    <t>Step 2</t>
  </si>
  <si>
    <t>T700 12k 60E</t>
  </si>
  <si>
    <t>T700 12k 50C</t>
  </si>
  <si>
    <t>Parameters:</t>
  </si>
  <si>
    <t>Pixel size (for the Higher Res Images) (μm):</t>
  </si>
  <si>
    <t>Mass of glass plate plus window plate (kg):</t>
  </si>
  <si>
    <t>Test 2</t>
  </si>
  <si>
    <t>Test 3</t>
  </si>
  <si>
    <t>Test 4</t>
  </si>
  <si>
    <t>Contact patch length (mm):</t>
  </si>
  <si>
    <t>Tow type: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</si>
</sst>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33" borderId="0" xfId="0" applyFill="1"/>
    <xf numFmtId="0" fontId="0" fillId="33" borderId="0" xfId="0" applyFont="1" applyFill="1"/>
    <xf numFmtId="0" fontId="0" fillId="0" borderId="0" xfId="0"/>
    <xf numFmtId="0" fontId="0" fillId="0" borderId="0" xfId="0" applyFill="1"/>
    <xf numFmtId="0" fontId="1" fillId="33" borderId="0" xfId="0" applyFont="1" applyFill="1"/>
    <xf numFmtId="0" fontId="0" fillId="0" borderId="0" xfId="0" applyBorder="1"/>
    <xf numFmtId="0" fontId="1" fillId="34" borderId="0" xfId="0" applyFont="1" applyFill="1"/>
    <xf numFmtId="0" fontId="15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254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Sheet1!$H$26:$H$43</c:f>
              <c:numCache>
                <c:formatCode>General</c:formatCode>
                <c:ptCount val="18"/>
                <c:pt idx="0">
                  <c:v>5.5807999999999997E-4</c:v>
                </c:pt>
                <c:pt idx="1">
                  <c:v>5.1391229629629631E-3</c:v>
                </c:pt>
                <c:pt idx="2">
                  <c:v>1.0148954074074075E-2</c:v>
                </c:pt>
                <c:pt idx="3">
                  <c:v>1.4755857777777779E-2</c:v>
                </c:pt>
                <c:pt idx="4">
                  <c:v>1.9120853333333337E-2</c:v>
                </c:pt>
                <c:pt idx="5">
                  <c:v>2.3536894814814815E-2</c:v>
                </c:pt>
                <c:pt idx="6">
                  <c:v>2.9440539259259262E-2</c:v>
                </c:pt>
                <c:pt idx="7">
                  <c:v>3.5512325925925924E-2</c:v>
                </c:pt>
                <c:pt idx="8">
                  <c:v>4.6683448888888895E-2</c:v>
                </c:pt>
                <c:pt idx="9">
                  <c:v>7.0906429629629619E-2</c:v>
                </c:pt>
                <c:pt idx="10">
                  <c:v>9.4813037037037029E-2</c:v>
                </c:pt>
                <c:pt idx="11">
                  <c:v>0.11856989629629631</c:v>
                </c:pt>
                <c:pt idx="12">
                  <c:v>0.14125155555555557</c:v>
                </c:pt>
                <c:pt idx="13">
                  <c:v>0.16462133333333334</c:v>
                </c:pt>
                <c:pt idx="14">
                  <c:v>0.18926281481481483</c:v>
                </c:pt>
                <c:pt idx="15">
                  <c:v>0.21218773333333329</c:v>
                </c:pt>
                <c:pt idx="16">
                  <c:v>0.2371323259259259</c:v>
                </c:pt>
                <c:pt idx="17">
                  <c:v>0.26977226666666665</c:v>
                </c:pt>
              </c:numCache>
            </c:numRef>
          </c:xVal>
          <c:yVal>
            <c:numRef>
              <c:f>Sheet1!$P$26:$P$43</c:f>
              <c:numCache>
                <c:formatCode>General</c:formatCode>
                <c:ptCount val="18"/>
                <c:pt idx="0">
                  <c:v>3.0107741967857495</c:v>
                </c:pt>
                <c:pt idx="1">
                  <c:v>6.7747326961709904</c:v>
                </c:pt>
                <c:pt idx="2">
                  <c:v>8.956103905001795</c:v>
                </c:pt>
                <c:pt idx="3">
                  <c:v>10.813510791610808</c:v>
                </c:pt>
                <c:pt idx="4">
                  <c:v>11.865196152352556</c:v>
                </c:pt>
                <c:pt idx="5">
                  <c:v>12.739752976461064</c:v>
                </c:pt>
                <c:pt idx="6">
                  <c:v>14.732326601911508</c:v>
                </c:pt>
                <c:pt idx="7">
                  <c:v>15.840675671884252</c:v>
                </c:pt>
                <c:pt idx="8">
                  <c:v>17.134535206110389</c:v>
                </c:pt>
                <c:pt idx="9">
                  <c:v>20.009455830632294</c:v>
                </c:pt>
                <c:pt idx="10">
                  <c:v>22.581990558621055</c:v>
                </c:pt>
                <c:pt idx="11">
                  <c:v>24.616963180159228</c:v>
                </c:pt>
                <c:pt idx="12">
                  <c:v>25.202363037197685</c:v>
                </c:pt>
                <c:pt idx="13">
                  <c:v>26.555181884474088</c:v>
                </c:pt>
                <c:pt idx="14">
                  <c:v>27.894580100987493</c:v>
                </c:pt>
                <c:pt idx="15">
                  <c:v>28.788210819494441</c:v>
                </c:pt>
                <c:pt idx="16">
                  <c:v>29.144981277725606</c:v>
                </c:pt>
                <c:pt idx="17">
                  <c:v>30.565269551481418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10-4080-A9C0-B3D6D297B467}"/>
            </c:ext>
          </c:extLst>
        </c:ser>
        <c:ser>
          <c:idx val="2"/>
          <c:order val="1"/>
          <c:spPr>
            <a:ln w="254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Sheet1!$H$48:$H$65</c:f>
              <c:numCache>
                <c:formatCode>General</c:formatCode>
                <c:ptCount val="18"/>
                <c:pt idx="0">
                  <c:v>8.6835428571428567E-4</c:v>
                </c:pt>
                <c:pt idx="1">
                  <c:v>5.3706342857142864E-3</c:v>
                </c:pt>
                <c:pt idx="2">
                  <c:v>9.5476171428571423E-3</c:v>
                </c:pt>
                <c:pt idx="3">
                  <c:v>1.4067280000000001E-2</c:v>
                </c:pt>
                <c:pt idx="4">
                  <c:v>1.8825805714285715E-2</c:v>
                </c:pt>
                <c:pt idx="5">
                  <c:v>2.3132034285714285E-2</c:v>
                </c:pt>
                <c:pt idx="6">
                  <c:v>2.9429508571428571E-2</c:v>
                </c:pt>
                <c:pt idx="7">
                  <c:v>3.4755760000000004E-2</c:v>
                </c:pt>
                <c:pt idx="8">
                  <c:v>4.593429142857143E-2</c:v>
                </c:pt>
                <c:pt idx="9">
                  <c:v>6.8879919999999997E-2</c:v>
                </c:pt>
                <c:pt idx="10">
                  <c:v>9.1525177142857142E-2</c:v>
                </c:pt>
                <c:pt idx="11">
                  <c:v>0.11475586285714286</c:v>
                </c:pt>
                <c:pt idx="12">
                  <c:v>0.13681043428571429</c:v>
                </c:pt>
                <c:pt idx="13">
                  <c:v>0.15910637714285714</c:v>
                </c:pt>
                <c:pt idx="14">
                  <c:v>0.18218974857142858</c:v>
                </c:pt>
                <c:pt idx="15">
                  <c:v>0.20450397714285715</c:v>
                </c:pt>
                <c:pt idx="16">
                  <c:v>0.2277262057142857</c:v>
                </c:pt>
                <c:pt idx="17">
                  <c:v>0.26250032000000001</c:v>
                </c:pt>
              </c:numCache>
            </c:numRef>
          </c:xVal>
          <c:yVal>
            <c:numRef>
              <c:f>Sheet1!$P$48:$P$65</c:f>
              <c:numCache>
                <c:formatCode>General</c:formatCode>
                <c:ptCount val="18"/>
                <c:pt idx="0">
                  <c:v>2.3197728108725819</c:v>
                </c:pt>
                <c:pt idx="1">
                  <c:v>5.6625669226067101</c:v>
                </c:pt>
                <c:pt idx="2">
                  <c:v>7.6873071985555406</c:v>
                </c:pt>
                <c:pt idx="3">
                  <c:v>8.990043503817553</c:v>
                </c:pt>
                <c:pt idx="4">
                  <c:v>10.299091997815626</c:v>
                </c:pt>
                <c:pt idx="5">
                  <c:v>12.336733713506876</c:v>
                </c:pt>
                <c:pt idx="6">
                  <c:v>14.062294662858754</c:v>
                </c:pt>
                <c:pt idx="7">
                  <c:v>14.874385733875114</c:v>
                </c:pt>
                <c:pt idx="8">
                  <c:v>17.92490725123772</c:v>
                </c:pt>
                <c:pt idx="9">
                  <c:v>21.468781879942771</c:v>
                </c:pt>
                <c:pt idx="10">
                  <c:v>25.378811284428782</c:v>
                </c:pt>
                <c:pt idx="11">
                  <c:v>26.28739653280477</c:v>
                </c:pt>
                <c:pt idx="12">
                  <c:v>28.053180399030769</c:v>
                </c:pt>
                <c:pt idx="13">
                  <c:v>29.334606294728765</c:v>
                </c:pt>
                <c:pt idx="14">
                  <c:v>29.37909360316991</c:v>
                </c:pt>
                <c:pt idx="15">
                  <c:v>31.230682085867073</c:v>
                </c:pt>
                <c:pt idx="16">
                  <c:v>33.067732931281135</c:v>
                </c:pt>
                <c:pt idx="17">
                  <c:v>32.402747394218622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10-4080-A9C0-B3D6D297B467}"/>
            </c:ext>
          </c:extLst>
        </c:ser>
        <c:ser>
          <c:idx val="3"/>
          <c:order val="2"/>
          <c:spPr>
            <a:ln w="254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Sheet1!$H$70:$H$87</c:f>
              <c:numCache>
                <c:formatCode>General</c:formatCode>
                <c:ptCount val="18"/>
                <c:pt idx="0">
                  <c:v>1.0748571428571428E-3</c:v>
                </c:pt>
                <c:pt idx="1">
                  <c:v>5.0765428571428574E-3</c:v>
                </c:pt>
                <c:pt idx="2">
                  <c:v>9.5448457142857136E-3</c:v>
                </c:pt>
                <c:pt idx="3">
                  <c:v>1.4171514285714285E-2</c:v>
                </c:pt>
                <c:pt idx="4">
                  <c:v>1.8645645714285713E-2</c:v>
                </c:pt>
                <c:pt idx="5">
                  <c:v>2.3023245714285712E-2</c:v>
                </c:pt>
                <c:pt idx="6">
                  <c:v>2.9800445714285716E-2</c:v>
                </c:pt>
                <c:pt idx="7">
                  <c:v>3.4618719999999999E-2</c:v>
                </c:pt>
                <c:pt idx="8">
                  <c:v>4.572413142857143E-2</c:v>
                </c:pt>
                <c:pt idx="9">
                  <c:v>6.9195177142857139E-2</c:v>
                </c:pt>
                <c:pt idx="10">
                  <c:v>9.1271805714285711E-2</c:v>
                </c:pt>
                <c:pt idx="11">
                  <c:v>0.11409072000000001</c:v>
                </c:pt>
                <c:pt idx="12">
                  <c:v>0.13797180571428572</c:v>
                </c:pt>
                <c:pt idx="13">
                  <c:v>0.15834506285714287</c:v>
                </c:pt>
                <c:pt idx="14">
                  <c:v>0.18190191999999999</c:v>
                </c:pt>
                <c:pt idx="15">
                  <c:v>0.20486472</c:v>
                </c:pt>
                <c:pt idx="16">
                  <c:v>0.22824157714285714</c:v>
                </c:pt>
                <c:pt idx="17">
                  <c:v>0.26192340571428574</c:v>
                </c:pt>
              </c:numCache>
            </c:numRef>
          </c:xVal>
          <c:yVal>
            <c:numRef>
              <c:f>Sheet1!$P$70:$P$87</c:f>
              <c:numCache>
                <c:formatCode>General</c:formatCode>
                <c:ptCount val="18"/>
                <c:pt idx="0">
                  <c:v>3.1659442733762622</c:v>
                </c:pt>
                <c:pt idx="1">
                  <c:v>4.94199503376925</c:v>
                </c:pt>
                <c:pt idx="2">
                  <c:v>6.6990860351763031</c:v>
                </c:pt>
                <c:pt idx="3">
                  <c:v>8.1928452756555608</c:v>
                </c:pt>
                <c:pt idx="4">
                  <c:v>9.7460194084791478</c:v>
                </c:pt>
                <c:pt idx="5">
                  <c:v>10.896569806632996</c:v>
                </c:pt>
                <c:pt idx="6">
                  <c:v>12.628218812026418</c:v>
                </c:pt>
                <c:pt idx="7">
                  <c:v>13.336093184341587</c:v>
                </c:pt>
                <c:pt idx="8">
                  <c:v>15.868870871958658</c:v>
                </c:pt>
                <c:pt idx="9">
                  <c:v>18.607425469687609</c:v>
                </c:pt>
                <c:pt idx="10">
                  <c:v>21.185041436951025</c:v>
                </c:pt>
                <c:pt idx="11">
                  <c:v>22.056394866897879</c:v>
                </c:pt>
                <c:pt idx="12">
                  <c:v>23.560625790884586</c:v>
                </c:pt>
                <c:pt idx="13">
                  <c:v>24.841543177712751</c:v>
                </c:pt>
                <c:pt idx="14">
                  <c:v>26.280675054094566</c:v>
                </c:pt>
                <c:pt idx="15">
                  <c:v>27.718293529551492</c:v>
                </c:pt>
                <c:pt idx="16">
                  <c:v>27.885999350633604</c:v>
                </c:pt>
                <c:pt idx="17">
                  <c:v>29.546022610550782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10-4080-A9C0-B3D6D297B467}"/>
            </c:ext>
          </c:extLst>
        </c:ser>
        <c:ser>
          <c:idx val="4"/>
          <c:order val="3"/>
          <c:spPr>
            <a:ln w="2540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Sheet1!$H$92:$H$108</c:f>
              <c:numCache>
                <c:formatCode>General</c:formatCode>
                <c:ptCount val="17"/>
                <c:pt idx="0">
                  <c:v>4.8606967741935482E-4</c:v>
                </c:pt>
                <c:pt idx="1">
                  <c:v>4.6195974193548386E-3</c:v>
                </c:pt>
                <c:pt idx="2">
                  <c:v>8.4784929032258073E-3</c:v>
                </c:pt>
                <c:pt idx="3">
                  <c:v>1.2640407741935485E-2</c:v>
                </c:pt>
                <c:pt idx="4">
                  <c:v>1.6984954838709678E-2</c:v>
                </c:pt>
                <c:pt idx="5">
                  <c:v>2.077937548387097E-2</c:v>
                </c:pt>
                <c:pt idx="6">
                  <c:v>3.0892593548387096E-2</c:v>
                </c:pt>
                <c:pt idx="7">
                  <c:v>4.1287520000000001E-2</c:v>
                </c:pt>
                <c:pt idx="8">
                  <c:v>6.1428738064516132E-2</c:v>
                </c:pt>
                <c:pt idx="9">
                  <c:v>8.1991473548387095E-2</c:v>
                </c:pt>
                <c:pt idx="10">
                  <c:v>0.10316169290322583</c:v>
                </c:pt>
                <c:pt idx="11">
                  <c:v>0.13002935741935484</c:v>
                </c:pt>
                <c:pt idx="12">
                  <c:v>0.14382997677419354</c:v>
                </c:pt>
                <c:pt idx="13">
                  <c:v>0.16434724129032258</c:v>
                </c:pt>
                <c:pt idx="14">
                  <c:v>0.18575400258064514</c:v>
                </c:pt>
                <c:pt idx="15">
                  <c:v>0.20613815741935482</c:v>
                </c:pt>
                <c:pt idx="16">
                  <c:v>0.23907601548387095</c:v>
                </c:pt>
              </c:numCache>
            </c:numRef>
          </c:xVal>
          <c:yVal>
            <c:numRef>
              <c:f>Sheet1!$P$92:$P$108</c:f>
              <c:numCache>
                <c:formatCode>General</c:formatCode>
                <c:ptCount val="17"/>
                <c:pt idx="0">
                  <c:v>2.313212238072734</c:v>
                </c:pt>
                <c:pt idx="1">
                  <c:v>4.2706992326825208</c:v>
                </c:pt>
                <c:pt idx="2">
                  <c:v>6.104997836391739</c:v>
                </c:pt>
                <c:pt idx="3">
                  <c:v>7.875227594511883</c:v>
                </c:pt>
                <c:pt idx="4">
                  <c:v>9.2693928129671921</c:v>
                </c:pt>
                <c:pt idx="5">
                  <c:v>10.584875426196801</c:v>
                </c:pt>
                <c:pt idx="6">
                  <c:v>15.000060082596569</c:v>
                </c:pt>
                <c:pt idx="7">
                  <c:v>17.005299274352648</c:v>
                </c:pt>
                <c:pt idx="8">
                  <c:v>18.647178275693232</c:v>
                </c:pt>
                <c:pt idx="9">
                  <c:v>21.185722881180265</c:v>
                </c:pt>
                <c:pt idx="10">
                  <c:v>23.859235595246172</c:v>
                </c:pt>
                <c:pt idx="11">
                  <c:v>26.642980887360558</c:v>
                </c:pt>
                <c:pt idx="12">
                  <c:v>28.176838130915105</c:v>
                </c:pt>
                <c:pt idx="13">
                  <c:v>27.530470427778997</c:v>
                </c:pt>
                <c:pt idx="14">
                  <c:v>30.214907036400675</c:v>
                </c:pt>
                <c:pt idx="15">
                  <c:v>30.519455539164515</c:v>
                </c:pt>
                <c:pt idx="16">
                  <c:v>33.348547331088298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10-4080-A9C0-B3D6D297B467}"/>
            </c:ext>
          </c:extLst>
        </c:ser>
        <c:ser>
          <c:idx val="5"/>
          <c:order val="4"/>
          <c:spPr>
            <a:ln w="254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Sheet1!$H$113:$H$130</c:f>
              <c:numCache>
                <c:formatCode>General</c:formatCode>
                <c:ptCount val="18"/>
                <c:pt idx="0">
                  <c:v>5.1603287671232875E-4</c:v>
                </c:pt>
                <c:pt idx="1">
                  <c:v>4.111860560490635E-3</c:v>
                </c:pt>
                <c:pt idx="2">
                  <c:v>8.2687694526848571E-3</c:v>
                </c:pt>
                <c:pt idx="3">
                  <c:v>1.2724321082085009E-2</c:v>
                </c:pt>
                <c:pt idx="4">
                  <c:v>1.723723658117679E-2</c:v>
                </c:pt>
                <c:pt idx="5">
                  <c:v>2.1598625125385899E-2</c:v>
                </c:pt>
                <c:pt idx="6">
                  <c:v>2.7190187360883782E-2</c:v>
                </c:pt>
                <c:pt idx="7">
                  <c:v>3.2381918329758556E-2</c:v>
                </c:pt>
                <c:pt idx="8">
                  <c:v>4.3406621882199029E-2</c:v>
                </c:pt>
                <c:pt idx="9">
                  <c:v>6.5013697727303865E-2</c:v>
                </c:pt>
                <c:pt idx="10">
                  <c:v>8.6256983316761501E-2</c:v>
                </c:pt>
                <c:pt idx="11">
                  <c:v>0.10985967318974718</c:v>
                </c:pt>
                <c:pt idx="12">
                  <c:v>0.13223444207158327</c:v>
                </c:pt>
                <c:pt idx="13">
                  <c:v>0.15075713205413965</c:v>
                </c:pt>
                <c:pt idx="14">
                  <c:v>0.17380926025863438</c:v>
                </c:pt>
                <c:pt idx="15">
                  <c:v>0.19765619356786177</c:v>
                </c:pt>
                <c:pt idx="16">
                  <c:v>0.2177684675404645</c:v>
                </c:pt>
                <c:pt idx="17">
                  <c:v>0.24901728945827276</c:v>
                </c:pt>
              </c:numCache>
            </c:numRef>
          </c:xVal>
          <c:yVal>
            <c:numRef>
              <c:f>Sheet1!$P$113:$P$130</c:f>
              <c:numCache>
                <c:formatCode>General</c:formatCode>
                <c:ptCount val="18"/>
                <c:pt idx="0">
                  <c:v>2.2388902600063751</c:v>
                </c:pt>
                <c:pt idx="1">
                  <c:v>4.1635746793237018</c:v>
                </c:pt>
                <c:pt idx="2">
                  <c:v>5.7492380443511477</c:v>
                </c:pt>
                <c:pt idx="3">
                  <c:v>6.929618877764149</c:v>
                </c:pt>
                <c:pt idx="4">
                  <c:v>8.1457652841216444</c:v>
                </c:pt>
                <c:pt idx="5">
                  <c:v>9.1784070646765414</c:v>
                </c:pt>
                <c:pt idx="6">
                  <c:v>10.020174978946704</c:v>
                </c:pt>
                <c:pt idx="7">
                  <c:v>10.896428917725833</c:v>
                </c:pt>
                <c:pt idx="8">
                  <c:v>13.310094561661961</c:v>
                </c:pt>
                <c:pt idx="9">
                  <c:v>15.563775366088054</c:v>
                </c:pt>
                <c:pt idx="10">
                  <c:v>16.737934279750586</c:v>
                </c:pt>
                <c:pt idx="11">
                  <c:v>18.320683438571308</c:v>
                </c:pt>
                <c:pt idx="12">
                  <c:v>20.292117665105287</c:v>
                </c:pt>
                <c:pt idx="13">
                  <c:v>20.918527164985111</c:v>
                </c:pt>
                <c:pt idx="14">
                  <c:v>21.999853280633534</c:v>
                </c:pt>
                <c:pt idx="15">
                  <c:v>23.115091086775958</c:v>
                </c:pt>
                <c:pt idx="16">
                  <c:v>23.100229039311134</c:v>
                </c:pt>
                <c:pt idx="17">
                  <c:v>23.997596970810356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110-4080-A9C0-B3D6D297B467}"/>
            </c:ext>
          </c:extLst>
        </c:ser>
        <c:ser>
          <c:idx val="8"/>
          <c:order val="5"/>
          <c:spPr>
            <a:ln w="254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Sheet1!$H$197:$H$213</c:f>
              <c:numCache>
                <c:formatCode>General</c:formatCode>
                <c:ptCount val="17"/>
                <c:pt idx="0">
                  <c:v>6.5513739130434784E-4</c:v>
                </c:pt>
                <c:pt idx="1">
                  <c:v>5.0709276245620256E-3</c:v>
                </c:pt>
                <c:pt idx="2">
                  <c:v>1.0643740018605005E-2</c:v>
                </c:pt>
                <c:pt idx="3">
                  <c:v>1.6117063440877138E-2</c:v>
                </c:pt>
                <c:pt idx="4">
                  <c:v>2.2033510760108711E-2</c:v>
                </c:pt>
                <c:pt idx="5">
                  <c:v>2.705273648018203E-2</c:v>
                </c:pt>
                <c:pt idx="6">
                  <c:v>3.4105063753857613E-2</c:v>
                </c:pt>
                <c:pt idx="7">
                  <c:v>4.1334413014440304E-2</c:v>
                </c:pt>
                <c:pt idx="8">
                  <c:v>5.4700575955765766E-2</c:v>
                </c:pt>
                <c:pt idx="9">
                  <c:v>8.3386809491666561E-2</c:v>
                </c:pt>
                <c:pt idx="10">
                  <c:v>0.10962756064578492</c:v>
                </c:pt>
                <c:pt idx="11">
                  <c:v>0.1388294837394228</c:v>
                </c:pt>
                <c:pt idx="12">
                  <c:v>0.16561075287690311</c:v>
                </c:pt>
                <c:pt idx="13">
                  <c:v>0.19249323724959644</c:v>
                </c:pt>
                <c:pt idx="14">
                  <c:v>0.2205489534107096</c:v>
                </c:pt>
                <c:pt idx="15">
                  <c:v>0.24923996651243502</c:v>
                </c:pt>
                <c:pt idx="16">
                  <c:v>0.31827243480138834</c:v>
                </c:pt>
              </c:numCache>
            </c:numRef>
          </c:xVal>
          <c:yVal>
            <c:numRef>
              <c:f>Sheet1!$P$197:$P$213</c:f>
              <c:numCache>
                <c:formatCode>General</c:formatCode>
                <c:ptCount val="17"/>
                <c:pt idx="0">
                  <c:v>0.31471546642454767</c:v>
                </c:pt>
                <c:pt idx="1">
                  <c:v>0.84204953324580822</c:v>
                </c:pt>
                <c:pt idx="2">
                  <c:v>1.6396004670181337</c:v>
                </c:pt>
                <c:pt idx="3">
                  <c:v>2.6660267343158592</c:v>
                </c:pt>
                <c:pt idx="4">
                  <c:v>3.3867694453256325</c:v>
                </c:pt>
                <c:pt idx="5">
                  <c:v>4.477044202015672</c:v>
                </c:pt>
                <c:pt idx="6">
                  <c:v>5.9045186250422717</c:v>
                </c:pt>
                <c:pt idx="7">
                  <c:v>6.8525934885651782</c:v>
                </c:pt>
                <c:pt idx="8">
                  <c:v>8.2452835833862146</c:v>
                </c:pt>
                <c:pt idx="9">
                  <c:v>11.104846139390311</c:v>
                </c:pt>
                <c:pt idx="10">
                  <c:v>13.090417738233729</c:v>
                </c:pt>
                <c:pt idx="11">
                  <c:v>14.934068349807845</c:v>
                </c:pt>
                <c:pt idx="12">
                  <c:v>16.066029121719673</c:v>
                </c:pt>
                <c:pt idx="13">
                  <c:v>17.163952669135256</c:v>
                </c:pt>
                <c:pt idx="14">
                  <c:v>19.196079694283615</c:v>
                </c:pt>
                <c:pt idx="15">
                  <c:v>20.218699674909939</c:v>
                </c:pt>
                <c:pt idx="16">
                  <c:v>21.94743150544506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110-4080-A9C0-B3D6D297B467}"/>
            </c:ext>
          </c:extLst>
        </c:ser>
        <c:ser>
          <c:idx val="7"/>
          <c:order val="6"/>
          <c:spPr>
            <a:ln w="254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Sheet1!$H$218:$H$235</c:f>
              <c:numCache>
                <c:formatCode>General</c:formatCode>
                <c:ptCount val="18"/>
                <c:pt idx="0">
                  <c:v>6.5513739130434784E-4</c:v>
                </c:pt>
                <c:pt idx="1">
                  <c:v>6.6729432214426678E-3</c:v>
                </c:pt>
                <c:pt idx="2">
                  <c:v>1.1595179643723495E-2</c:v>
                </c:pt>
                <c:pt idx="3">
                  <c:v>1.6796174922928554E-2</c:v>
                </c:pt>
                <c:pt idx="4">
                  <c:v>2.252330219312652E-2</c:v>
                </c:pt>
                <c:pt idx="5">
                  <c:v>2.7713735410830838E-2</c:v>
                </c:pt>
                <c:pt idx="6">
                  <c:v>3.4619913131808122E-2</c:v>
                </c:pt>
                <c:pt idx="7">
                  <c:v>4.2573783922867287E-2</c:v>
                </c:pt>
                <c:pt idx="8">
                  <c:v>5.4899734732705881E-2</c:v>
                </c:pt>
                <c:pt idx="9">
                  <c:v>8.3592681360771193E-2</c:v>
                </c:pt>
                <c:pt idx="10">
                  <c:v>0.11277364308147118</c:v>
                </c:pt>
                <c:pt idx="11">
                  <c:v>0.13835418123470686</c:v>
                </c:pt>
                <c:pt idx="12">
                  <c:v>0.16578040242525549</c:v>
                </c:pt>
                <c:pt idx="13">
                  <c:v>0.19404847541935211</c:v>
                </c:pt>
                <c:pt idx="14">
                  <c:v>0.22180026210549267</c:v>
                </c:pt>
                <c:pt idx="15">
                  <c:v>0.24954038225537473</c:v>
                </c:pt>
                <c:pt idx="16">
                  <c:v>0.27729861217460949</c:v>
                </c:pt>
                <c:pt idx="17">
                  <c:v>0.31990484571050953</c:v>
                </c:pt>
              </c:numCache>
            </c:numRef>
          </c:xVal>
          <c:yVal>
            <c:numRef>
              <c:f>Sheet1!$P$218:$P$235</c:f>
              <c:numCache>
                <c:formatCode>General</c:formatCode>
                <c:ptCount val="18"/>
                <c:pt idx="0">
                  <c:v>0.67354492294841506</c:v>
                </c:pt>
                <c:pt idx="1">
                  <c:v>2.7928781493913903</c:v>
                </c:pt>
                <c:pt idx="2">
                  <c:v>4.1548858390838825</c:v>
                </c:pt>
                <c:pt idx="3">
                  <c:v>4.9852647854800871</c:v>
                </c:pt>
                <c:pt idx="4">
                  <c:v>6.2544452719761363</c:v>
                </c:pt>
                <c:pt idx="5">
                  <c:v>7.1619224366030076</c:v>
                </c:pt>
                <c:pt idx="6">
                  <c:v>8.0241051167581308</c:v>
                </c:pt>
                <c:pt idx="7">
                  <c:v>9.5787763981798193</c:v>
                </c:pt>
                <c:pt idx="8">
                  <c:v>11.015382152866234</c:v>
                </c:pt>
                <c:pt idx="9">
                  <c:v>13.706591057752293</c:v>
                </c:pt>
                <c:pt idx="10">
                  <c:v>16.381793674313808</c:v>
                </c:pt>
                <c:pt idx="11">
                  <c:v>17.796235224087514</c:v>
                </c:pt>
                <c:pt idx="12">
                  <c:v>19.1727426230844</c:v>
                </c:pt>
                <c:pt idx="13">
                  <c:v>20.449392736439194</c:v>
                </c:pt>
                <c:pt idx="14">
                  <c:v>21.364266964956215</c:v>
                </c:pt>
                <c:pt idx="15">
                  <c:v>22.936718289034534</c:v>
                </c:pt>
                <c:pt idx="16">
                  <c:v>24.171716681503405</c:v>
                </c:pt>
                <c:pt idx="17">
                  <c:v>24.100182478885625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10-4080-A9C0-B3D6D297B467}"/>
            </c:ext>
          </c:extLst>
        </c:ser>
        <c:ser>
          <c:idx val="9"/>
          <c:order val="7"/>
          <c:spPr>
            <a:ln w="254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Sheet1!$H$177:$H$192</c:f>
              <c:numCache>
                <c:formatCode>General</c:formatCode>
                <c:ptCount val="16"/>
                <c:pt idx="0">
                  <c:v>6.5513739130434784E-4</c:v>
                </c:pt>
                <c:pt idx="1">
                  <c:v>6.1334907641080235E-3</c:v>
                </c:pt>
                <c:pt idx="2">
                  <c:v>1.1821235302157045E-2</c:v>
                </c:pt>
                <c:pt idx="3">
                  <c:v>1.7173837129617613E-2</c:v>
                </c:pt>
                <c:pt idx="4">
                  <c:v>2.2383376091390305E-2</c:v>
                </c:pt>
                <c:pt idx="5">
                  <c:v>2.8559192754144917E-2</c:v>
                </c:pt>
                <c:pt idx="6">
                  <c:v>3.525410281561063E-2</c:v>
                </c:pt>
                <c:pt idx="7">
                  <c:v>4.2045697540143985E-2</c:v>
                </c:pt>
                <c:pt idx="8">
                  <c:v>5.572402483120794E-2</c:v>
                </c:pt>
                <c:pt idx="9">
                  <c:v>8.2750394166036606E-2</c:v>
                </c:pt>
                <c:pt idx="10">
                  <c:v>0.11060009240030305</c:v>
                </c:pt>
                <c:pt idx="11">
                  <c:v>0.13867808584508928</c:v>
                </c:pt>
                <c:pt idx="12">
                  <c:v>0.16595063620458617</c:v>
                </c:pt>
                <c:pt idx="13">
                  <c:v>0.22324351988871996</c:v>
                </c:pt>
                <c:pt idx="14">
                  <c:v>0.2509420914787468</c:v>
                </c:pt>
                <c:pt idx="15">
                  <c:v>0.27749889768272495</c:v>
                </c:pt>
              </c:numCache>
            </c:numRef>
          </c:xVal>
          <c:yVal>
            <c:numRef>
              <c:f>Sheet1!$P$177:$P$192</c:f>
              <c:numCache>
                <c:formatCode>General</c:formatCode>
                <c:ptCount val="16"/>
                <c:pt idx="0">
                  <c:v>0.74443490486446939</c:v>
                </c:pt>
                <c:pt idx="1">
                  <c:v>3.7863693544560957</c:v>
                </c:pt>
                <c:pt idx="2">
                  <c:v>5.7048505273908159</c:v>
                </c:pt>
                <c:pt idx="3">
                  <c:v>6.7576337545921268</c:v>
                </c:pt>
                <c:pt idx="4">
                  <c:v>8.1917410226824163</c:v>
                </c:pt>
                <c:pt idx="5">
                  <c:v>9.296700678090497</c:v>
                </c:pt>
                <c:pt idx="6">
                  <c:v>10.908127995638687</c:v>
                </c:pt>
                <c:pt idx="7">
                  <c:v>12.088183400570861</c:v>
                </c:pt>
                <c:pt idx="8">
                  <c:v>14.110359363279937</c:v>
                </c:pt>
                <c:pt idx="9">
                  <c:v>17.620153104001929</c:v>
                </c:pt>
                <c:pt idx="10">
                  <c:v>20.024780654081901</c:v>
                </c:pt>
                <c:pt idx="11">
                  <c:v>21.930021905717307</c:v>
                </c:pt>
                <c:pt idx="12">
                  <c:v>23.194608681949919</c:v>
                </c:pt>
                <c:pt idx="13">
                  <c:v>25.785192172172135</c:v>
                </c:pt>
                <c:pt idx="14">
                  <c:v>26.241430298757479</c:v>
                </c:pt>
                <c:pt idx="15">
                  <c:v>27.650071810965681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110-4080-A9C0-B3D6D297B467}"/>
            </c:ext>
          </c:extLst>
        </c:ser>
        <c:ser>
          <c:idx val="10"/>
          <c:order val="8"/>
          <c:spPr>
            <a:ln w="254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Sheet1!$H$156:$H$170</c:f>
              <c:numCache>
                <c:formatCode>General</c:formatCode>
                <c:ptCount val="15"/>
                <c:pt idx="0">
                  <c:v>6.2783999999999995E-4</c:v>
                </c:pt>
                <c:pt idx="1">
                  <c:v>5.6853698273678374E-3</c:v>
                </c:pt>
                <c:pt idx="2">
                  <c:v>1.2581961175764832E-2</c:v>
                </c:pt>
                <c:pt idx="3">
                  <c:v>2.1979810939145462E-2</c:v>
                </c:pt>
                <c:pt idx="4">
                  <c:v>2.7494711958941494E-2</c:v>
                </c:pt>
                <c:pt idx="5">
                  <c:v>4.0400042892754638E-2</c:v>
                </c:pt>
                <c:pt idx="6">
                  <c:v>5.4104204727054989E-2</c:v>
                </c:pt>
                <c:pt idx="7">
                  <c:v>8.0290884724388348E-2</c:v>
                </c:pt>
                <c:pt idx="8">
                  <c:v>0.13270725611677794</c:v>
                </c:pt>
                <c:pt idx="9">
                  <c:v>0.15878194917816188</c:v>
                </c:pt>
                <c:pt idx="10">
                  <c:v>0.18736314093980941</c:v>
                </c:pt>
                <c:pt idx="11">
                  <c:v>0.21240170522695598</c:v>
                </c:pt>
                <c:pt idx="12">
                  <c:v>0.24367784599879921</c:v>
                </c:pt>
                <c:pt idx="13">
                  <c:v>0.27111725145104221</c:v>
                </c:pt>
                <c:pt idx="14">
                  <c:v>0.30395149526894744</c:v>
                </c:pt>
              </c:numCache>
            </c:numRef>
          </c:xVal>
          <c:yVal>
            <c:numRef>
              <c:f>Sheet1!$P$156:$P$170</c:f>
              <c:numCache>
                <c:formatCode>General</c:formatCode>
                <c:ptCount val="15"/>
                <c:pt idx="0">
                  <c:v>1.2319719645726532</c:v>
                </c:pt>
                <c:pt idx="1">
                  <c:v>3.8718938376093788</c:v>
                </c:pt>
                <c:pt idx="2">
                  <c:v>5.9780111228977733</c:v>
                </c:pt>
                <c:pt idx="3">
                  <c:v>8.6088810761205909</c:v>
                </c:pt>
                <c:pt idx="4">
                  <c:v>9.5517895183833321</c:v>
                </c:pt>
                <c:pt idx="5">
                  <c:v>11.867034155930337</c:v>
                </c:pt>
                <c:pt idx="6">
                  <c:v>13.919503466744354</c:v>
                </c:pt>
                <c:pt idx="7">
                  <c:v>16.030051149996524</c:v>
                </c:pt>
                <c:pt idx="8">
                  <c:v>22.251902380717382</c:v>
                </c:pt>
                <c:pt idx="9">
                  <c:v>23.682638279082557</c:v>
                </c:pt>
                <c:pt idx="10">
                  <c:v>24.349991307951811</c:v>
                </c:pt>
                <c:pt idx="11">
                  <c:v>25.71326461256465</c:v>
                </c:pt>
                <c:pt idx="12">
                  <c:v>26.430087066489609</c:v>
                </c:pt>
                <c:pt idx="13">
                  <c:v>28.303586083904513</c:v>
                </c:pt>
                <c:pt idx="14">
                  <c:v>27.369154361320362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110-4080-A9C0-B3D6D297B467}"/>
            </c:ext>
          </c:extLst>
        </c:ser>
        <c:ser>
          <c:idx val="0"/>
          <c:order val="9"/>
          <c:spPr>
            <a:ln w="254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Sheet1!$H$136:$H$151</c:f>
              <c:numCache>
                <c:formatCode>General</c:formatCode>
                <c:ptCount val="16"/>
                <c:pt idx="0">
                  <c:v>6.2783999999999995E-4</c:v>
                </c:pt>
                <c:pt idx="1">
                  <c:v>1.5452888323668696E-2</c:v>
                </c:pt>
                <c:pt idx="2">
                  <c:v>1.9211307306538729E-2</c:v>
                </c:pt>
                <c:pt idx="3">
                  <c:v>2.4508289243484738E-2</c:v>
                </c:pt>
                <c:pt idx="4">
                  <c:v>3.3701057356528535E-2</c:v>
                </c:pt>
                <c:pt idx="5">
                  <c:v>5.3090260849163649E-2</c:v>
                </c:pt>
                <c:pt idx="6">
                  <c:v>7.9715238520296341E-2</c:v>
                </c:pt>
                <c:pt idx="7">
                  <c:v>0.10593993091515037</c:v>
                </c:pt>
                <c:pt idx="8">
                  <c:v>0.13327287765913451</c:v>
                </c:pt>
                <c:pt idx="9">
                  <c:v>0.16020225844964397</c:v>
                </c:pt>
                <c:pt idx="10">
                  <c:v>0.18625614100646629</c:v>
                </c:pt>
                <c:pt idx="11">
                  <c:v>0.21377586106245602</c:v>
                </c:pt>
                <c:pt idx="12">
                  <c:v>0.23943657292008116</c:v>
                </c:pt>
                <c:pt idx="13">
                  <c:v>0.26715323758714909</c:v>
                </c:pt>
                <c:pt idx="14">
                  <c:v>0.29216632696927508</c:v>
                </c:pt>
                <c:pt idx="15">
                  <c:v>0.30767286166233171</c:v>
                </c:pt>
              </c:numCache>
            </c:numRef>
          </c:xVal>
          <c:yVal>
            <c:numRef>
              <c:f>Sheet1!$P$136:$P$151</c:f>
              <c:numCache>
                <c:formatCode>General</c:formatCode>
                <c:ptCount val="16"/>
                <c:pt idx="0">
                  <c:v>1.0317923089814627</c:v>
                </c:pt>
                <c:pt idx="1">
                  <c:v>5.9536778571432958</c:v>
                </c:pt>
                <c:pt idx="2">
                  <c:v>7.0958270805585224</c:v>
                </c:pt>
                <c:pt idx="3">
                  <c:v>7.9457883969234784</c:v>
                </c:pt>
                <c:pt idx="4">
                  <c:v>9.5950029562888943</c:v>
                </c:pt>
                <c:pt idx="5">
                  <c:v>12.47041303503336</c:v>
                </c:pt>
                <c:pt idx="6">
                  <c:v>15.496463188566509</c:v>
                </c:pt>
                <c:pt idx="7">
                  <c:v>17.682182802636433</c:v>
                </c:pt>
                <c:pt idx="8">
                  <c:v>20.204235033489091</c:v>
                </c:pt>
                <c:pt idx="9">
                  <c:v>21.733199467058757</c:v>
                </c:pt>
                <c:pt idx="10">
                  <c:v>22.8540929427264</c:v>
                </c:pt>
                <c:pt idx="11">
                  <c:v>24.372842064406555</c:v>
                </c:pt>
                <c:pt idx="12">
                  <c:v>26.039246802686268</c:v>
                </c:pt>
                <c:pt idx="13">
                  <c:v>26.885862488684108</c:v>
                </c:pt>
                <c:pt idx="14">
                  <c:v>27.403190388199622</c:v>
                </c:pt>
                <c:pt idx="15">
                  <c:v>28.294412329830728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110-4080-A9C0-B3D6D297B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090232"/>
        <c:axId val="255090624"/>
      </c:scatterChart>
      <c:valAx>
        <c:axId val="255090232"/>
        <c:scaling>
          <c:orientation val="minMax"/>
          <c:max val="0.35000000000000003"/>
        </c:scaling>
        <c:delete val="0"/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2000"/>
                </a:pPr>
                <a:r>
                  <a:rPr lang="en-IE" sz="2000"/>
                  <a:t>Tow Nominal Pressure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out"/>
        <c:tickLblPos val="nextTo"/>
        <c:spPr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1800"/>
            </a:pPr>
            <a:endParaRPr lang="en-US"/>
          </a:p>
        </c:txPr>
        <c:crossAx val="255090624"/>
        <c:crosses val="autoZero"/>
        <c:crossBetween val="midCat"/>
        <c:minorUnit val="1.0000000000000002E-2"/>
      </c:valAx>
      <c:valAx>
        <c:axId val="255090624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chemeClr val="tx1">
                  <a:tint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IE" sz="2000"/>
                  <a:t>Tow microcontact density,  D</a:t>
                </a:r>
                <a:r>
                  <a:rPr lang="en-IE" sz="2000" baseline="-25000"/>
                  <a:t>mic/tow</a:t>
                </a:r>
                <a:r>
                  <a:rPr lang="en-IE" sz="2000" baseline="0"/>
                  <a:t>  %</a:t>
                </a:r>
                <a:endParaRPr lang="en-IE" sz="2000" baseline="-25000"/>
              </a:p>
            </c:rich>
          </c:tx>
          <c:layout/>
          <c:overlay val="0"/>
        </c:title>
        <c:numFmt formatCode="General" sourceLinked="1"/>
        <c:majorTickMark val="out"/>
        <c:minorTickMark val="out"/>
        <c:tickLblPos val="nextTo"/>
        <c:spPr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1800"/>
            </a:pPr>
            <a:endParaRPr lang="en-US"/>
          </a:p>
        </c:txPr>
        <c:crossAx val="255090232"/>
        <c:crosses val="autoZero"/>
        <c:crossBetween val="midCat"/>
        <c:minorUnit val="1"/>
      </c:valAx>
    </c:plotArea>
    <c:plotVisOnly val="1"/>
    <c:dispBlanksAs val="gap"/>
    <c:showDLblsOverMax val="0"/>
  </c:chart>
  <c:spPr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16836621613151"/>
          <c:y val="5.5234639586022448E-2"/>
          <c:w val="0.85003643353297997"/>
          <c:h val="0.80478407644919014"/>
        </c:manualLayout>
      </c:layout>
      <c:scatterChart>
        <c:scatterStyle val="smoothMarker"/>
        <c:varyColors val="0"/>
        <c:ser>
          <c:idx val="1"/>
          <c:order val="0"/>
          <c:tx>
            <c:v>T700 12k 60E, Test 8</c:v>
          </c:tx>
          <c:spPr>
            <a:ln w="254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Sheet1!$H$26:$H$43</c:f>
              <c:numCache>
                <c:formatCode>General</c:formatCode>
                <c:ptCount val="18"/>
                <c:pt idx="0">
                  <c:v>5.5807999999999997E-4</c:v>
                </c:pt>
                <c:pt idx="1">
                  <c:v>5.1391229629629631E-3</c:v>
                </c:pt>
                <c:pt idx="2">
                  <c:v>1.0148954074074075E-2</c:v>
                </c:pt>
                <c:pt idx="3">
                  <c:v>1.4755857777777779E-2</c:v>
                </c:pt>
                <c:pt idx="4">
                  <c:v>1.9120853333333337E-2</c:v>
                </c:pt>
                <c:pt idx="5">
                  <c:v>2.3536894814814815E-2</c:v>
                </c:pt>
                <c:pt idx="6">
                  <c:v>2.9440539259259262E-2</c:v>
                </c:pt>
                <c:pt idx="7">
                  <c:v>3.5512325925925924E-2</c:v>
                </c:pt>
                <c:pt idx="8">
                  <c:v>4.6683448888888895E-2</c:v>
                </c:pt>
                <c:pt idx="9">
                  <c:v>7.0906429629629619E-2</c:v>
                </c:pt>
                <c:pt idx="10">
                  <c:v>9.4813037037037029E-2</c:v>
                </c:pt>
                <c:pt idx="11">
                  <c:v>0.11856989629629631</c:v>
                </c:pt>
                <c:pt idx="12">
                  <c:v>0.14125155555555557</c:v>
                </c:pt>
                <c:pt idx="13">
                  <c:v>0.16462133333333334</c:v>
                </c:pt>
                <c:pt idx="14">
                  <c:v>0.18926281481481483</c:v>
                </c:pt>
                <c:pt idx="15">
                  <c:v>0.21218773333333329</c:v>
                </c:pt>
                <c:pt idx="16">
                  <c:v>0.2371323259259259</c:v>
                </c:pt>
                <c:pt idx="17">
                  <c:v>0.26977226666666665</c:v>
                </c:pt>
              </c:numCache>
            </c:numRef>
          </c:xVal>
          <c:yVal>
            <c:numRef>
              <c:f>Sheet1!$N$26:$N$43</c:f>
              <c:numCache>
                <c:formatCode>General</c:formatCode>
                <c:ptCount val="18"/>
                <c:pt idx="0">
                  <c:v>5.3487041385193168E-3</c:v>
                </c:pt>
                <c:pt idx="1">
                  <c:v>2.4347357929017446E-2</c:v>
                </c:pt>
                <c:pt idx="2">
                  <c:v>3.9339737612388487E-2</c:v>
                </c:pt>
                <c:pt idx="3">
                  <c:v>5.2122692618307293E-2</c:v>
                </c:pt>
                <c:pt idx="4">
                  <c:v>6.2151605218546971E-2</c:v>
                </c:pt>
                <c:pt idx="5">
                  <c:v>7.1452320963756796E-2</c:v>
                </c:pt>
                <c:pt idx="6">
                  <c:v>8.5934944936193317E-2</c:v>
                </c:pt>
                <c:pt idx="7">
                  <c:v>9.7867312760168426E-2</c:v>
                </c:pt>
                <c:pt idx="8">
                  <c:v>0.11670215733749377</c:v>
                </c:pt>
                <c:pt idx="9">
                  <c:v>0.15542529539158648</c:v>
                </c:pt>
                <c:pt idx="10">
                  <c:v>0.19093097634456954</c:v>
                </c:pt>
                <c:pt idx="11">
                  <c:v>0.22292856047453277</c:v>
                </c:pt>
                <c:pt idx="12">
                  <c:v>0.2461945897410695</c:v>
                </c:pt>
                <c:pt idx="13">
                  <c:v>0.27282172542294503</c:v>
                </c:pt>
                <c:pt idx="14">
                  <c:v>0.29981531618882906</c:v>
                </c:pt>
                <c:pt idx="15">
                  <c:v>0.32249926380526589</c:v>
                </c:pt>
                <c:pt idx="16">
                  <c:v>0.34303507183861381</c:v>
                </c:pt>
                <c:pt idx="17">
                  <c:v>0.37469165361626167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36-435D-82F4-0CA3040148E6}"/>
            </c:ext>
          </c:extLst>
        </c:ser>
        <c:ser>
          <c:idx val="2"/>
          <c:order val="1"/>
          <c:tx>
            <c:v>T700 12k 60E, Test 9</c:v>
          </c:tx>
          <c:spPr>
            <a:ln w="2540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Sheet1!$H$48:$H$65</c:f>
              <c:numCache>
                <c:formatCode>General</c:formatCode>
                <c:ptCount val="18"/>
                <c:pt idx="0">
                  <c:v>8.6835428571428567E-4</c:v>
                </c:pt>
                <c:pt idx="1">
                  <c:v>5.3706342857142864E-3</c:v>
                </c:pt>
                <c:pt idx="2">
                  <c:v>9.5476171428571423E-3</c:v>
                </c:pt>
                <c:pt idx="3">
                  <c:v>1.4067280000000001E-2</c:v>
                </c:pt>
                <c:pt idx="4">
                  <c:v>1.8825805714285715E-2</c:v>
                </c:pt>
                <c:pt idx="5">
                  <c:v>2.3132034285714285E-2</c:v>
                </c:pt>
                <c:pt idx="6">
                  <c:v>2.9429508571428571E-2</c:v>
                </c:pt>
                <c:pt idx="7">
                  <c:v>3.4755760000000004E-2</c:v>
                </c:pt>
                <c:pt idx="8">
                  <c:v>4.593429142857143E-2</c:v>
                </c:pt>
                <c:pt idx="9">
                  <c:v>6.8879919999999997E-2</c:v>
                </c:pt>
                <c:pt idx="10">
                  <c:v>9.1525177142857142E-2</c:v>
                </c:pt>
                <c:pt idx="11">
                  <c:v>0.11475586285714286</c:v>
                </c:pt>
                <c:pt idx="12">
                  <c:v>0.13681043428571429</c:v>
                </c:pt>
                <c:pt idx="13">
                  <c:v>0.15910637714285714</c:v>
                </c:pt>
                <c:pt idx="14">
                  <c:v>0.18218974857142858</c:v>
                </c:pt>
                <c:pt idx="15">
                  <c:v>0.20450397714285715</c:v>
                </c:pt>
                <c:pt idx="16">
                  <c:v>0.2277262057142857</c:v>
                </c:pt>
                <c:pt idx="17">
                  <c:v>0.26250032000000001</c:v>
                </c:pt>
              </c:numCache>
            </c:numRef>
          </c:xVal>
          <c:yVal>
            <c:numRef>
              <c:f>Sheet1!$N$48:$N$65</c:f>
              <c:numCache>
                <c:formatCode>General</c:formatCode>
                <c:ptCount val="18"/>
                <c:pt idx="0">
                  <c:v>5.8564232565303442E-3</c:v>
                </c:pt>
                <c:pt idx="1">
                  <c:v>2.275520317060211E-2</c:v>
                </c:pt>
                <c:pt idx="2">
                  <c:v>3.5350525137160249E-2</c:v>
                </c:pt>
                <c:pt idx="3">
                  <c:v>4.640312364127374E-2</c:v>
                </c:pt>
                <c:pt idx="4">
                  <c:v>5.745628057400641E-2</c:v>
                </c:pt>
                <c:pt idx="5">
                  <c:v>6.9705695145492255E-2</c:v>
                </c:pt>
                <c:pt idx="6">
                  <c:v>8.3942298262488918E-2</c:v>
                </c:pt>
                <c:pt idx="7">
                  <c:v>9.3819727733105693E-2</c:v>
                </c:pt>
                <c:pt idx="8">
                  <c:v>0.1184017776770052</c:v>
                </c:pt>
                <c:pt idx="9">
                  <c:v>0.15867601039634777</c:v>
                </c:pt>
                <c:pt idx="10">
                  <c:v>0.19886904163010713</c:v>
                </c:pt>
                <c:pt idx="11">
                  <c:v>0.2266326532188089</c:v>
                </c:pt>
                <c:pt idx="12">
                  <c:v>0.2556300568458133</c:v>
                </c:pt>
                <c:pt idx="13">
                  <c:v>0.28190006693788039</c:v>
                </c:pt>
                <c:pt idx="14">
                  <c:v>0.30188561439903061</c:v>
                </c:pt>
                <c:pt idx="15">
                  <c:v>0.32976371536759336</c:v>
                </c:pt>
                <c:pt idx="16">
                  <c:v>0.35807167629481801</c:v>
                </c:pt>
                <c:pt idx="17">
                  <c:v>0.38055469976261996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36-435D-82F4-0CA3040148E6}"/>
            </c:ext>
          </c:extLst>
        </c:ser>
        <c:ser>
          <c:idx val="3"/>
          <c:order val="2"/>
          <c:tx>
            <c:v>T700 12k 60E, Test 10</c:v>
          </c:tx>
          <c:spPr>
            <a:ln w="254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Sheet1!$H$70:$H$87</c:f>
              <c:numCache>
                <c:formatCode>General</c:formatCode>
                <c:ptCount val="18"/>
                <c:pt idx="0">
                  <c:v>1.0748571428571428E-3</c:v>
                </c:pt>
                <c:pt idx="1">
                  <c:v>5.0765428571428574E-3</c:v>
                </c:pt>
                <c:pt idx="2">
                  <c:v>9.5448457142857136E-3</c:v>
                </c:pt>
                <c:pt idx="3">
                  <c:v>1.4171514285714285E-2</c:v>
                </c:pt>
                <c:pt idx="4">
                  <c:v>1.8645645714285713E-2</c:v>
                </c:pt>
                <c:pt idx="5">
                  <c:v>2.3023245714285712E-2</c:v>
                </c:pt>
                <c:pt idx="6">
                  <c:v>2.9800445714285716E-2</c:v>
                </c:pt>
                <c:pt idx="7">
                  <c:v>3.4618719999999999E-2</c:v>
                </c:pt>
                <c:pt idx="8">
                  <c:v>4.572413142857143E-2</c:v>
                </c:pt>
                <c:pt idx="9">
                  <c:v>6.9195177142857139E-2</c:v>
                </c:pt>
                <c:pt idx="10">
                  <c:v>9.1271805714285711E-2</c:v>
                </c:pt>
                <c:pt idx="11">
                  <c:v>0.11409072000000001</c:v>
                </c:pt>
                <c:pt idx="12">
                  <c:v>0.13797180571428572</c:v>
                </c:pt>
                <c:pt idx="13">
                  <c:v>0.15834506285714287</c:v>
                </c:pt>
                <c:pt idx="14">
                  <c:v>0.18190191999999999</c:v>
                </c:pt>
                <c:pt idx="15">
                  <c:v>0.20486472</c:v>
                </c:pt>
                <c:pt idx="16">
                  <c:v>0.22824157714285714</c:v>
                </c:pt>
                <c:pt idx="17">
                  <c:v>0.26192340571428574</c:v>
                </c:pt>
              </c:numCache>
            </c:numRef>
          </c:xVal>
          <c:yVal>
            <c:numRef>
              <c:f>Sheet1!$N$70:$N$87</c:f>
              <c:numCache>
                <c:formatCode>General</c:formatCode>
                <c:ptCount val="18"/>
                <c:pt idx="0">
                  <c:v>7.6118156241799587E-3</c:v>
                </c:pt>
                <c:pt idx="1">
                  <c:v>2.0667903940691745E-2</c:v>
                </c:pt>
                <c:pt idx="2">
                  <c:v>3.2995406838949082E-2</c:v>
                </c:pt>
                <c:pt idx="3">
                  <c:v>4.4461771216917516E-2</c:v>
                </c:pt>
                <c:pt idx="4">
                  <c:v>5.5624177664436052E-2</c:v>
                </c:pt>
                <c:pt idx="5">
                  <c:v>6.5356596905984068E-2</c:v>
                </c:pt>
                <c:pt idx="6">
                  <c:v>8.0046746120114629E-2</c:v>
                </c:pt>
                <c:pt idx="7">
                  <c:v>8.8660681937769451E-2</c:v>
                </c:pt>
                <c:pt idx="8">
                  <c:v>0.11114936832901012</c:v>
                </c:pt>
                <c:pt idx="9">
                  <c:v>0.14806155643474389</c:v>
                </c:pt>
                <c:pt idx="10">
                  <c:v>0.18144467779387552</c:v>
                </c:pt>
                <c:pt idx="11">
                  <c:v>0.20699205591347161</c:v>
                </c:pt>
                <c:pt idx="12">
                  <c:v>0.23526094569201494</c:v>
                </c:pt>
                <c:pt idx="13">
                  <c:v>0.2587931653287257</c:v>
                </c:pt>
                <c:pt idx="14">
                  <c:v>0.28529762307197204</c:v>
                </c:pt>
                <c:pt idx="15">
                  <c:v>0.31094106776762237</c:v>
                </c:pt>
                <c:pt idx="16">
                  <c:v>0.32919387027059899</c:v>
                </c:pt>
                <c:pt idx="17">
                  <c:v>0.3629927249668623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36-435D-82F4-0CA3040148E6}"/>
            </c:ext>
          </c:extLst>
        </c:ser>
        <c:ser>
          <c:idx val="4"/>
          <c:order val="3"/>
          <c:tx>
            <c:v>T700 12k 60E, Test 11</c:v>
          </c:tx>
          <c:spPr>
            <a:ln w="254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Sheet1!$H$92:$H$108</c:f>
              <c:numCache>
                <c:formatCode>General</c:formatCode>
                <c:ptCount val="17"/>
                <c:pt idx="0">
                  <c:v>4.8606967741935482E-4</c:v>
                </c:pt>
                <c:pt idx="1">
                  <c:v>4.6195974193548386E-3</c:v>
                </c:pt>
                <c:pt idx="2">
                  <c:v>8.4784929032258073E-3</c:v>
                </c:pt>
                <c:pt idx="3">
                  <c:v>1.2640407741935485E-2</c:v>
                </c:pt>
                <c:pt idx="4">
                  <c:v>1.6984954838709678E-2</c:v>
                </c:pt>
                <c:pt idx="5">
                  <c:v>2.077937548387097E-2</c:v>
                </c:pt>
                <c:pt idx="6">
                  <c:v>3.0892593548387096E-2</c:v>
                </c:pt>
                <c:pt idx="7">
                  <c:v>4.1287520000000001E-2</c:v>
                </c:pt>
                <c:pt idx="8">
                  <c:v>6.1428738064516132E-2</c:v>
                </c:pt>
                <c:pt idx="9">
                  <c:v>8.1991473548387095E-2</c:v>
                </c:pt>
                <c:pt idx="10">
                  <c:v>0.10316169290322583</c:v>
                </c:pt>
                <c:pt idx="11">
                  <c:v>0.13002935741935484</c:v>
                </c:pt>
                <c:pt idx="12">
                  <c:v>0.14382997677419354</c:v>
                </c:pt>
                <c:pt idx="13">
                  <c:v>0.16434724129032258</c:v>
                </c:pt>
                <c:pt idx="14">
                  <c:v>0.18575400258064514</c:v>
                </c:pt>
                <c:pt idx="15">
                  <c:v>0.20613815741935482</c:v>
                </c:pt>
                <c:pt idx="16">
                  <c:v>0.23907601548387095</c:v>
                </c:pt>
              </c:numCache>
            </c:numRef>
          </c:xVal>
          <c:yVal>
            <c:numRef>
              <c:f>Sheet1!$N$92:$N$108</c:f>
              <c:numCache>
                <c:formatCode>General</c:formatCode>
                <c:ptCount val="17"/>
                <c:pt idx="0">
                  <c:v>4.375405000992815E-3</c:v>
                </c:pt>
                <c:pt idx="1">
                  <c:v>1.832790445276522E-2</c:v>
                </c:pt>
                <c:pt idx="2">
                  <c:v>2.968679689883736E-2</c:v>
                </c:pt>
                <c:pt idx="3">
                  <c:v>4.1169287612861843E-2</c:v>
                </c:pt>
                <c:pt idx="4">
                  <c:v>5.177487931478824E-2</c:v>
                </c:pt>
                <c:pt idx="5">
                  <c:v>6.1195624993068368E-2</c:v>
                </c:pt>
                <c:pt idx="6">
                  <c:v>8.8824943138094678E-2</c:v>
                </c:pt>
                <c:pt idx="7">
                  <c:v>0.10933590192670095</c:v>
                </c:pt>
                <c:pt idx="8">
                  <c:v>0.13965407476676245</c:v>
                </c:pt>
                <c:pt idx="9">
                  <c:v>0.17197576223292901</c:v>
                </c:pt>
                <c:pt idx="10">
                  <c:v>0.20471456674497115</c:v>
                </c:pt>
                <c:pt idx="11">
                  <c:v>0.24286971791106088</c:v>
                </c:pt>
                <c:pt idx="12">
                  <c:v>0.26268307242683175</c:v>
                </c:pt>
                <c:pt idx="13">
                  <c:v>0.27755514300320117</c:v>
                </c:pt>
                <c:pt idx="14">
                  <c:v>0.30912987272718578</c:v>
                </c:pt>
                <c:pt idx="15">
                  <c:v>0.32728706332397006</c:v>
                </c:pt>
                <c:pt idx="16">
                  <c:v>0.36844080161253107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36-435D-82F4-0CA3040148E6}"/>
            </c:ext>
          </c:extLst>
        </c:ser>
        <c:ser>
          <c:idx val="5"/>
          <c:order val="4"/>
          <c:tx>
            <c:v>T700 12k 60E, Test 12</c:v>
          </c:tx>
          <c:spPr>
            <a:ln w="254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Sheet1!$H$113:$H$130</c:f>
              <c:numCache>
                <c:formatCode>General</c:formatCode>
                <c:ptCount val="18"/>
                <c:pt idx="0">
                  <c:v>5.1603287671232875E-4</c:v>
                </c:pt>
                <c:pt idx="1">
                  <c:v>4.111860560490635E-3</c:v>
                </c:pt>
                <c:pt idx="2">
                  <c:v>8.2687694526848571E-3</c:v>
                </c:pt>
                <c:pt idx="3">
                  <c:v>1.2724321082085009E-2</c:v>
                </c:pt>
                <c:pt idx="4">
                  <c:v>1.723723658117679E-2</c:v>
                </c:pt>
                <c:pt idx="5">
                  <c:v>2.1598625125385899E-2</c:v>
                </c:pt>
                <c:pt idx="6">
                  <c:v>2.7190187360883782E-2</c:v>
                </c:pt>
                <c:pt idx="7">
                  <c:v>3.2381918329758556E-2</c:v>
                </c:pt>
                <c:pt idx="8">
                  <c:v>4.3406621882199029E-2</c:v>
                </c:pt>
                <c:pt idx="9">
                  <c:v>6.5013697727303865E-2</c:v>
                </c:pt>
                <c:pt idx="10">
                  <c:v>8.6256983316761501E-2</c:v>
                </c:pt>
                <c:pt idx="11">
                  <c:v>0.10985967318974718</c:v>
                </c:pt>
                <c:pt idx="12">
                  <c:v>0.13223444207158327</c:v>
                </c:pt>
                <c:pt idx="13">
                  <c:v>0.15075713205413965</c:v>
                </c:pt>
                <c:pt idx="14">
                  <c:v>0.17380926025863438</c:v>
                </c:pt>
                <c:pt idx="15">
                  <c:v>0.19765619356786177</c:v>
                </c:pt>
                <c:pt idx="16">
                  <c:v>0.2177684675404645</c:v>
                </c:pt>
                <c:pt idx="17">
                  <c:v>0.24901728945827276</c:v>
                </c:pt>
              </c:numCache>
            </c:numRef>
          </c:xVal>
          <c:yVal>
            <c:numRef>
              <c:f>Sheet1!$N$113:$N$130</c:f>
              <c:numCache>
                <c:formatCode>General</c:formatCode>
                <c:ptCount val="18"/>
                <c:pt idx="0">
                  <c:v>4.4352320090988214E-3</c:v>
                </c:pt>
                <c:pt idx="1">
                  <c:v>1.7073148676882616E-2</c:v>
                </c:pt>
                <c:pt idx="2">
                  <c:v>2.8450299366818262E-2</c:v>
                </c:pt>
                <c:pt idx="3">
                  <c:v>3.8746567769045517E-2</c:v>
                </c:pt>
                <c:pt idx="4">
                  <c:v>4.889461386882886E-2</c:v>
                </c:pt>
                <c:pt idx="5">
                  <c:v>5.8097569532413462E-2</c:v>
                </c:pt>
                <c:pt idx="6">
                  <c:v>6.8109078822084695E-2</c:v>
                </c:pt>
                <c:pt idx="7">
                  <c:v>7.7509446434574122E-2</c:v>
                </c:pt>
                <c:pt idx="8">
                  <c:v>9.9181304966129868E-2</c:v>
                </c:pt>
                <c:pt idx="9">
                  <c:v>0.13125660426165592</c:v>
                </c:pt>
                <c:pt idx="10">
                  <c:v>0.15678673470909288</c:v>
                </c:pt>
                <c:pt idx="11">
                  <c:v>0.18511910430806952</c:v>
                </c:pt>
                <c:pt idx="12">
                  <c:v>0.21374562446418344</c:v>
                </c:pt>
                <c:pt idx="13">
                  <c:v>0.23172118394612662</c:v>
                </c:pt>
                <c:pt idx="14">
                  <c:v>0.25515706705162955</c:v>
                </c:pt>
                <c:pt idx="15">
                  <c:v>0.27891011961885448</c:v>
                </c:pt>
                <c:pt idx="16">
                  <c:v>0.29266237595142408</c:v>
                </c:pt>
                <c:pt idx="17">
                  <c:v>0.31897737666769294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36-435D-82F4-0CA3040148E6}"/>
            </c:ext>
          </c:extLst>
        </c:ser>
        <c:ser>
          <c:idx val="7"/>
          <c:order val="5"/>
          <c:tx>
            <c:v>Ideal case</c:v>
          </c:tx>
          <c:spPr>
            <a:ln w="31750">
              <a:solidFill>
                <a:srgbClr val="00B0F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Sheet1!$H$26:$H$43</c:f>
              <c:numCache>
                <c:formatCode>General</c:formatCode>
                <c:ptCount val="18"/>
                <c:pt idx="0">
                  <c:v>5.5807999999999997E-4</c:v>
                </c:pt>
                <c:pt idx="1">
                  <c:v>5.1391229629629631E-3</c:v>
                </c:pt>
                <c:pt idx="2">
                  <c:v>1.0148954074074075E-2</c:v>
                </c:pt>
                <c:pt idx="3">
                  <c:v>1.4755857777777779E-2</c:v>
                </c:pt>
                <c:pt idx="4">
                  <c:v>1.9120853333333337E-2</c:v>
                </c:pt>
                <c:pt idx="5">
                  <c:v>2.3536894814814815E-2</c:v>
                </c:pt>
                <c:pt idx="6">
                  <c:v>2.9440539259259262E-2</c:v>
                </c:pt>
                <c:pt idx="7">
                  <c:v>3.5512325925925924E-2</c:v>
                </c:pt>
                <c:pt idx="8">
                  <c:v>4.6683448888888895E-2</c:v>
                </c:pt>
                <c:pt idx="9">
                  <c:v>7.0906429629629619E-2</c:v>
                </c:pt>
                <c:pt idx="10">
                  <c:v>9.4813037037037029E-2</c:v>
                </c:pt>
                <c:pt idx="11">
                  <c:v>0.11856989629629631</c:v>
                </c:pt>
                <c:pt idx="12">
                  <c:v>0.14125155555555557</c:v>
                </c:pt>
                <c:pt idx="13">
                  <c:v>0.16462133333333334</c:v>
                </c:pt>
                <c:pt idx="14">
                  <c:v>0.18926281481481483</c:v>
                </c:pt>
                <c:pt idx="15">
                  <c:v>0.21218773333333329</c:v>
                </c:pt>
                <c:pt idx="16">
                  <c:v>0.2371323259259259</c:v>
                </c:pt>
                <c:pt idx="17">
                  <c:v>0.26977226666666665</c:v>
                </c:pt>
              </c:numCache>
            </c:numRef>
          </c:xVal>
          <c:yVal>
            <c:numRef>
              <c:f>Sheet1!$T$26:$T$43</c:f>
              <c:numCache>
                <c:formatCode>General</c:formatCode>
                <c:ptCount val="18"/>
                <c:pt idx="0">
                  <c:v>3.0825454100340884E-2</c:v>
                </c:pt>
                <c:pt idx="1">
                  <c:v>9.3541807642634173E-2</c:v>
                </c:pt>
                <c:pt idx="2">
                  <c:v>0.1314534223218157</c:v>
                </c:pt>
                <c:pt idx="3">
                  <c:v>0.15850518885941392</c:v>
                </c:pt>
                <c:pt idx="4">
                  <c:v>0.18043255074764999</c:v>
                </c:pt>
                <c:pt idx="5">
                  <c:v>0.20018698412624208</c:v>
                </c:pt>
                <c:pt idx="6">
                  <c:v>0.22388971006331021</c:v>
                </c:pt>
                <c:pt idx="7">
                  <c:v>0.24589563109177726</c:v>
                </c:pt>
                <c:pt idx="8">
                  <c:v>0.28193092764966343</c:v>
                </c:pt>
                <c:pt idx="9">
                  <c:v>0.34745939769440237</c:v>
                </c:pt>
                <c:pt idx="10">
                  <c:v>0.40178644655780105</c:v>
                </c:pt>
                <c:pt idx="11">
                  <c:v>0.44931247170835575</c:v>
                </c:pt>
                <c:pt idx="12">
                  <c:v>0.4904083692893636</c:v>
                </c:pt>
                <c:pt idx="13">
                  <c:v>0.52942483634931015</c:v>
                </c:pt>
                <c:pt idx="14">
                  <c:v>0.56766733039035311</c:v>
                </c:pt>
                <c:pt idx="15">
                  <c:v>0.60106493165405073</c:v>
                </c:pt>
                <c:pt idx="16">
                  <c:v>0.63541378756643252</c:v>
                </c:pt>
                <c:pt idx="17">
                  <c:v>0.67773498402088173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636-435D-82F4-0CA3040148E6}"/>
            </c:ext>
          </c:extLst>
        </c:ser>
        <c:ser>
          <c:idx val="0"/>
          <c:order val="6"/>
          <c:tx>
            <c:v>T700 12k 50C, Test 1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Sheet1!$H$136:$H$151</c:f>
              <c:numCache>
                <c:formatCode>General</c:formatCode>
                <c:ptCount val="16"/>
                <c:pt idx="0">
                  <c:v>6.2783999999999995E-4</c:v>
                </c:pt>
                <c:pt idx="1">
                  <c:v>1.5452888323668696E-2</c:v>
                </c:pt>
                <c:pt idx="2">
                  <c:v>1.9211307306538729E-2</c:v>
                </c:pt>
                <c:pt idx="3">
                  <c:v>2.4508289243484738E-2</c:v>
                </c:pt>
                <c:pt idx="4">
                  <c:v>3.3701057356528535E-2</c:v>
                </c:pt>
                <c:pt idx="5">
                  <c:v>5.3090260849163649E-2</c:v>
                </c:pt>
                <c:pt idx="6">
                  <c:v>7.9715238520296341E-2</c:v>
                </c:pt>
                <c:pt idx="7">
                  <c:v>0.10593993091515037</c:v>
                </c:pt>
                <c:pt idx="8">
                  <c:v>0.13327287765913451</c:v>
                </c:pt>
                <c:pt idx="9">
                  <c:v>0.16020225844964397</c:v>
                </c:pt>
                <c:pt idx="10">
                  <c:v>0.18625614100646629</c:v>
                </c:pt>
                <c:pt idx="11">
                  <c:v>0.21377586106245602</c:v>
                </c:pt>
                <c:pt idx="12">
                  <c:v>0.23943657292008116</c:v>
                </c:pt>
                <c:pt idx="13">
                  <c:v>0.26715323758714909</c:v>
                </c:pt>
                <c:pt idx="14">
                  <c:v>0.29216632696927508</c:v>
                </c:pt>
                <c:pt idx="15">
                  <c:v>0.30767286166233171</c:v>
                </c:pt>
              </c:numCache>
            </c:numRef>
          </c:xVal>
          <c:yVal>
            <c:numRef>
              <c:f>Sheet1!$N$136:$N$151</c:f>
              <c:numCache>
                <c:formatCode>General</c:formatCode>
                <c:ptCount val="16"/>
                <c:pt idx="0">
                  <c:v>3.3210995014764776E-3</c:v>
                </c:pt>
                <c:pt idx="1">
                  <c:v>3.9578447318978381E-2</c:v>
                </c:pt>
                <c:pt idx="2">
                  <c:v>4.8177163302383502E-2</c:v>
                </c:pt>
                <c:pt idx="3">
                  <c:v>5.758193431875018E-2</c:v>
                </c:pt>
                <c:pt idx="4">
                  <c:v>7.4200285016417747E-2</c:v>
                </c:pt>
                <c:pt idx="5">
                  <c:v>0.10617178091203491</c:v>
                </c:pt>
                <c:pt idx="6">
                  <c:v>0.14502678617780107</c:v>
                </c:pt>
                <c:pt idx="7">
                  <c:v>0.1785907801123103</c:v>
                </c:pt>
                <c:pt idx="8">
                  <c:v>0.21411808334354121</c:v>
                </c:pt>
                <c:pt idx="9">
                  <c:v>0.2434766982440999</c:v>
                </c:pt>
                <c:pt idx="10">
                  <c:v>0.26921456266814131</c:v>
                </c:pt>
                <c:pt idx="11">
                  <c:v>0.2978473036904013</c:v>
                </c:pt>
                <c:pt idx="12">
                  <c:v>0.32581472375943593</c:v>
                </c:pt>
                <c:pt idx="13">
                  <c:v>0.34970630380280815</c:v>
                </c:pt>
                <c:pt idx="14">
                  <c:v>0.3692129267693548</c:v>
                </c:pt>
                <c:pt idx="15">
                  <c:v>0.38499597410815645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636-435D-82F4-0CA3040148E6}"/>
            </c:ext>
          </c:extLst>
        </c:ser>
        <c:ser>
          <c:idx val="6"/>
          <c:order val="7"/>
          <c:tx>
            <c:v>T700 12k 50C, Test 2</c:v>
          </c:tx>
          <c:spPr>
            <a:ln w="25400">
              <a:solidFill>
                <a:srgbClr val="FF0000"/>
              </a:solidFill>
            </a:ln>
          </c:spPr>
          <c:xVal>
            <c:numRef>
              <c:f>Sheet1!$H$156:$H$170</c:f>
              <c:numCache>
                <c:formatCode>General</c:formatCode>
                <c:ptCount val="15"/>
                <c:pt idx="0">
                  <c:v>6.2783999999999995E-4</c:v>
                </c:pt>
                <c:pt idx="1">
                  <c:v>5.6853698273678374E-3</c:v>
                </c:pt>
                <c:pt idx="2">
                  <c:v>1.2581961175764832E-2</c:v>
                </c:pt>
                <c:pt idx="3">
                  <c:v>2.1979810939145462E-2</c:v>
                </c:pt>
                <c:pt idx="4">
                  <c:v>2.7494711958941494E-2</c:v>
                </c:pt>
                <c:pt idx="5">
                  <c:v>4.0400042892754638E-2</c:v>
                </c:pt>
                <c:pt idx="6">
                  <c:v>5.4104204727054989E-2</c:v>
                </c:pt>
                <c:pt idx="7">
                  <c:v>8.0290884724388348E-2</c:v>
                </c:pt>
                <c:pt idx="8">
                  <c:v>0.13270725611677794</c:v>
                </c:pt>
                <c:pt idx="9">
                  <c:v>0.15878194917816188</c:v>
                </c:pt>
                <c:pt idx="10">
                  <c:v>0.18736314093980941</c:v>
                </c:pt>
                <c:pt idx="11">
                  <c:v>0.21240170522695598</c:v>
                </c:pt>
                <c:pt idx="12">
                  <c:v>0.24367784599879921</c:v>
                </c:pt>
                <c:pt idx="13">
                  <c:v>0.27111725145104221</c:v>
                </c:pt>
                <c:pt idx="14">
                  <c:v>0.30395149526894744</c:v>
                </c:pt>
              </c:numCache>
            </c:numRef>
          </c:xVal>
          <c:yVal>
            <c:numRef>
              <c:f>Sheet1!$N$156:$N$170</c:f>
              <c:numCache>
                <c:formatCode>General</c:formatCode>
                <c:ptCount val="15"/>
                <c:pt idx="0">
                  <c:v>3.6289932192818757E-3</c:v>
                </c:pt>
                <c:pt idx="1">
                  <c:v>1.9359865432591786E-2</c:v>
                </c:pt>
                <c:pt idx="2">
                  <c:v>3.5786051562711835E-2</c:v>
                </c:pt>
                <c:pt idx="3">
                  <c:v>5.6760548566945505E-2</c:v>
                </c:pt>
                <c:pt idx="4">
                  <c:v>6.6869521059648399E-2</c:v>
                </c:pt>
                <c:pt idx="5">
                  <c:v>9.0348981861353359E-2</c:v>
                </c:pt>
                <c:pt idx="6">
                  <c:v>0.11323707279670525</c:v>
                </c:pt>
                <c:pt idx="7">
                  <c:v>0.14803412103651209</c:v>
                </c:pt>
                <c:pt idx="8">
                  <c:v>0.22422919690071511</c:v>
                </c:pt>
                <c:pt idx="9">
                  <c:v>0.2530328219307168</c:v>
                </c:pt>
                <c:pt idx="10">
                  <c:v>0.27871011981032834</c:v>
                </c:pt>
                <c:pt idx="11">
                  <c:v>0.30494313633563908</c:v>
                </c:pt>
                <c:pt idx="12">
                  <c:v>0.33114528368555041</c:v>
                </c:pt>
                <c:pt idx="13">
                  <c:v>0.36146026472598619</c:v>
                </c:pt>
                <c:pt idx="14">
                  <c:v>0.37635187599980663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636-435D-82F4-0CA3040148E6}"/>
            </c:ext>
          </c:extLst>
        </c:ser>
        <c:ser>
          <c:idx val="8"/>
          <c:order val="8"/>
          <c:tx>
            <c:v>T700 12k 50C, Test 5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Sheet1!$H$177:$H$192</c:f>
              <c:numCache>
                <c:formatCode>General</c:formatCode>
                <c:ptCount val="16"/>
                <c:pt idx="0">
                  <c:v>6.5513739130434784E-4</c:v>
                </c:pt>
                <c:pt idx="1">
                  <c:v>6.1334907641080235E-3</c:v>
                </c:pt>
                <c:pt idx="2">
                  <c:v>1.1821235302157045E-2</c:v>
                </c:pt>
                <c:pt idx="3">
                  <c:v>1.7173837129617613E-2</c:v>
                </c:pt>
                <c:pt idx="4">
                  <c:v>2.2383376091390305E-2</c:v>
                </c:pt>
                <c:pt idx="5">
                  <c:v>2.8559192754144917E-2</c:v>
                </c:pt>
                <c:pt idx="6">
                  <c:v>3.525410281561063E-2</c:v>
                </c:pt>
                <c:pt idx="7">
                  <c:v>4.2045697540143985E-2</c:v>
                </c:pt>
                <c:pt idx="8">
                  <c:v>5.572402483120794E-2</c:v>
                </c:pt>
                <c:pt idx="9">
                  <c:v>8.2750394166036606E-2</c:v>
                </c:pt>
                <c:pt idx="10">
                  <c:v>0.11060009240030305</c:v>
                </c:pt>
                <c:pt idx="11">
                  <c:v>0.13867808584508928</c:v>
                </c:pt>
                <c:pt idx="12">
                  <c:v>0.16595063620458617</c:v>
                </c:pt>
                <c:pt idx="13">
                  <c:v>0.22324351988871996</c:v>
                </c:pt>
                <c:pt idx="14">
                  <c:v>0.2509420914787468</c:v>
                </c:pt>
                <c:pt idx="15">
                  <c:v>0.27749889768272495</c:v>
                </c:pt>
              </c:numCache>
            </c:numRef>
          </c:xVal>
          <c:yVal>
            <c:numRef>
              <c:f>Sheet1!$N$177:$N$192</c:f>
              <c:numCache>
                <c:formatCode>General</c:formatCode>
                <c:ptCount val="16"/>
                <c:pt idx="0">
                  <c:v>2.8816472137162775E-3</c:v>
                </c:pt>
                <c:pt idx="1">
                  <c:v>1.9885045984817142E-2</c:v>
                </c:pt>
                <c:pt idx="2">
                  <c:v>3.3885571885970869E-2</c:v>
                </c:pt>
                <c:pt idx="3">
                  <c:v>4.4452096532226239E-2</c:v>
                </c:pt>
                <c:pt idx="4">
                  <c:v>5.5874307874177104E-2</c:v>
                </c:pt>
                <c:pt idx="5">
                  <c:v>6.7235500423398792E-2</c:v>
                </c:pt>
                <c:pt idx="6">
                  <c:v>8.0917265822404771E-2</c:v>
                </c:pt>
                <c:pt idx="7">
                  <c:v>9.3025616045998433E-2</c:v>
                </c:pt>
                <c:pt idx="8">
                  <c:v>0.11570484087401599</c:v>
                </c:pt>
                <c:pt idx="9">
                  <c:v>0.15756187054616547</c:v>
                </c:pt>
                <c:pt idx="10">
                  <c:v>0.19418822065398611</c:v>
                </c:pt>
                <c:pt idx="11">
                  <c:v>0.22755412132749131</c:v>
                </c:pt>
                <c:pt idx="12">
                  <c:v>0.25600251942329566</c:v>
                </c:pt>
                <c:pt idx="13">
                  <c:v>0.31306597562427968</c:v>
                </c:pt>
                <c:pt idx="14">
                  <c:v>0.33484341426951614</c:v>
                </c:pt>
                <c:pt idx="15">
                  <c:v>0.36144316500818635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636-435D-82F4-0CA3040148E6}"/>
            </c:ext>
          </c:extLst>
        </c:ser>
        <c:ser>
          <c:idx val="9"/>
          <c:order val="9"/>
          <c:tx>
            <c:v>T700 12k 50C, Test 6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Sheet1!$H$197:$H$213</c:f>
              <c:numCache>
                <c:formatCode>General</c:formatCode>
                <c:ptCount val="17"/>
                <c:pt idx="0">
                  <c:v>6.5513739130434784E-4</c:v>
                </c:pt>
                <c:pt idx="1">
                  <c:v>5.0709276245620256E-3</c:v>
                </c:pt>
                <c:pt idx="2">
                  <c:v>1.0643740018605005E-2</c:v>
                </c:pt>
                <c:pt idx="3">
                  <c:v>1.6117063440877138E-2</c:v>
                </c:pt>
                <c:pt idx="4">
                  <c:v>2.2033510760108711E-2</c:v>
                </c:pt>
                <c:pt idx="5">
                  <c:v>2.705273648018203E-2</c:v>
                </c:pt>
                <c:pt idx="6">
                  <c:v>3.4105063753857613E-2</c:v>
                </c:pt>
                <c:pt idx="7">
                  <c:v>4.1334413014440304E-2</c:v>
                </c:pt>
                <c:pt idx="8">
                  <c:v>5.4700575955765766E-2</c:v>
                </c:pt>
                <c:pt idx="9">
                  <c:v>8.3386809491666561E-2</c:v>
                </c:pt>
                <c:pt idx="10">
                  <c:v>0.10962756064578492</c:v>
                </c:pt>
                <c:pt idx="11">
                  <c:v>0.1388294837394228</c:v>
                </c:pt>
                <c:pt idx="12">
                  <c:v>0.16561075287690311</c:v>
                </c:pt>
                <c:pt idx="13">
                  <c:v>0.19249323724959644</c:v>
                </c:pt>
                <c:pt idx="14">
                  <c:v>0.2205489534107096</c:v>
                </c:pt>
                <c:pt idx="15">
                  <c:v>0.24923996651243502</c:v>
                </c:pt>
                <c:pt idx="16">
                  <c:v>0.31827243480138834</c:v>
                </c:pt>
              </c:numCache>
            </c:numRef>
          </c:xVal>
          <c:yVal>
            <c:numRef>
              <c:f>Sheet1!$N$197:$N$213</c:f>
              <c:numCache>
                <c:formatCode>General</c:formatCode>
                <c:ptCount val="17"/>
                <c:pt idx="0">
                  <c:v>1.8736414705487938E-3</c:v>
                </c:pt>
                <c:pt idx="1">
                  <c:v>8.5265585648093747E-3</c:v>
                </c:pt>
                <c:pt idx="2">
                  <c:v>1.723762383999906E-2</c:v>
                </c:pt>
                <c:pt idx="3">
                  <c:v>2.7048081188638742E-2</c:v>
                </c:pt>
                <c:pt idx="4">
                  <c:v>3.5644778563946808E-2</c:v>
                </c:pt>
                <c:pt idx="5">
                  <c:v>4.5411154763601087E-2</c:v>
                </c:pt>
                <c:pt idx="6">
                  <c:v>5.8554858373483593E-2</c:v>
                </c:pt>
                <c:pt idx="7">
                  <c:v>6.9445582575934514E-2</c:v>
                </c:pt>
                <c:pt idx="8">
                  <c:v>8.7631450784471251E-2</c:v>
                </c:pt>
                <c:pt idx="9">
                  <c:v>0.12556430729850088</c:v>
                </c:pt>
                <c:pt idx="10">
                  <c:v>0.15631400187944811</c:v>
                </c:pt>
                <c:pt idx="11">
                  <c:v>0.18788459599383836</c:v>
                </c:pt>
                <c:pt idx="12">
                  <c:v>0.21284320713093391</c:v>
                </c:pt>
                <c:pt idx="13">
                  <c:v>0.23717977125700612</c:v>
                </c:pt>
                <c:pt idx="14">
                  <c:v>0.26848499953816185</c:v>
                </c:pt>
                <c:pt idx="15">
                  <c:v>0.29291843585772298</c:v>
                </c:pt>
                <c:pt idx="16">
                  <c:v>0.34486777733134372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636-435D-82F4-0CA3040148E6}"/>
            </c:ext>
          </c:extLst>
        </c:ser>
        <c:ser>
          <c:idx val="10"/>
          <c:order val="10"/>
          <c:tx>
            <c:v>T700 12k 50C, Test 7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Sheet1!$H$218:$H$235</c:f>
              <c:numCache>
                <c:formatCode>General</c:formatCode>
                <c:ptCount val="18"/>
                <c:pt idx="0">
                  <c:v>6.5513739130434784E-4</c:v>
                </c:pt>
                <c:pt idx="1">
                  <c:v>6.6729432214426678E-3</c:v>
                </c:pt>
                <c:pt idx="2">
                  <c:v>1.1595179643723495E-2</c:v>
                </c:pt>
                <c:pt idx="3">
                  <c:v>1.6796174922928554E-2</c:v>
                </c:pt>
                <c:pt idx="4">
                  <c:v>2.252330219312652E-2</c:v>
                </c:pt>
                <c:pt idx="5">
                  <c:v>2.7713735410830838E-2</c:v>
                </c:pt>
                <c:pt idx="6">
                  <c:v>3.4619913131808122E-2</c:v>
                </c:pt>
                <c:pt idx="7">
                  <c:v>4.2573783922867287E-2</c:v>
                </c:pt>
                <c:pt idx="8">
                  <c:v>5.4899734732705881E-2</c:v>
                </c:pt>
                <c:pt idx="9">
                  <c:v>8.3592681360771193E-2</c:v>
                </c:pt>
                <c:pt idx="10">
                  <c:v>0.11277364308147118</c:v>
                </c:pt>
                <c:pt idx="11">
                  <c:v>0.13835418123470686</c:v>
                </c:pt>
                <c:pt idx="12">
                  <c:v>0.16578040242525549</c:v>
                </c:pt>
                <c:pt idx="13">
                  <c:v>0.19404847541935211</c:v>
                </c:pt>
                <c:pt idx="14">
                  <c:v>0.22180026210549267</c:v>
                </c:pt>
                <c:pt idx="15">
                  <c:v>0.24954038225537473</c:v>
                </c:pt>
                <c:pt idx="16">
                  <c:v>0.27729861217460949</c:v>
                </c:pt>
                <c:pt idx="17">
                  <c:v>0.31990484571050953</c:v>
                </c:pt>
              </c:numCache>
            </c:numRef>
          </c:xVal>
          <c:yVal>
            <c:numRef>
              <c:f>Sheet1!$N$218:$N$235</c:f>
              <c:numCache>
                <c:formatCode>General</c:formatCode>
                <c:ptCount val="18"/>
                <c:pt idx="0">
                  <c:v>2.7410106979160512E-3</c:v>
                </c:pt>
                <c:pt idx="1">
                  <c:v>1.7813364824225183E-2</c:v>
                </c:pt>
                <c:pt idx="2">
                  <c:v>2.864043052980661E-2</c:v>
                </c:pt>
                <c:pt idx="3">
                  <c:v>3.7758137457245093E-2</c:v>
                </c:pt>
                <c:pt idx="4">
                  <c:v>4.8974688662669102E-2</c:v>
                </c:pt>
                <c:pt idx="5">
                  <c:v>5.8133114818411408E-2</c:v>
                </c:pt>
                <c:pt idx="6">
                  <c:v>6.8773724597260388E-2</c:v>
                </c:pt>
                <c:pt idx="7">
                  <c:v>8.3327316738268972E-2</c:v>
                </c:pt>
                <c:pt idx="8">
                  <c:v>0.1014719861082285</c:v>
                </c:pt>
                <c:pt idx="9">
                  <c:v>0.13967224361113262</c:v>
                </c:pt>
                <c:pt idx="10">
                  <c:v>0.17735595886238179</c:v>
                </c:pt>
                <c:pt idx="11">
                  <c:v>0.20474884785885564</c:v>
                </c:pt>
                <c:pt idx="12">
                  <c:v>0.23263227589565066</c:v>
                </c:pt>
                <c:pt idx="13">
                  <c:v>0.25993010304631137</c:v>
                </c:pt>
                <c:pt idx="14">
                  <c:v>0.28404443122104245</c:v>
                </c:pt>
                <c:pt idx="15">
                  <c:v>0.31217441884445779</c:v>
                </c:pt>
                <c:pt idx="16">
                  <c:v>0.33782271600534952</c:v>
                </c:pt>
                <c:pt idx="17">
                  <c:v>0.36231125747736781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636-435D-82F4-0CA304014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091800"/>
        <c:axId val="255092192"/>
      </c:scatterChart>
      <c:valAx>
        <c:axId val="255091800"/>
        <c:scaling>
          <c:orientation val="minMax"/>
          <c:max val="0.35000000000000003"/>
        </c:scaling>
        <c:delete val="0"/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2000"/>
                </a:pPr>
                <a:r>
                  <a:rPr lang="en-IE" sz="2000"/>
                  <a:t>Tow nominal pressure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out"/>
        <c:tickLblPos val="nextTo"/>
        <c:spPr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1800"/>
            </a:pPr>
            <a:endParaRPr lang="en-US"/>
          </a:p>
        </c:txPr>
        <c:crossAx val="255092192"/>
        <c:crosses val="autoZero"/>
        <c:crossBetween val="midCat"/>
        <c:majorUnit val="5.000000000000001E-2"/>
        <c:minorUnit val="1.0000000000000002E-2"/>
      </c:valAx>
      <c:valAx>
        <c:axId val="255092192"/>
        <c:scaling>
          <c:orientation val="minMax"/>
          <c:max val="0.70000000000000007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E" sz="2000"/>
                  <a:t> Real Contact Area - Hertz  (%) </a:t>
                </a:r>
              </a:p>
            </c:rich>
          </c:tx>
          <c:layout>
            <c:manualLayout>
              <c:xMode val="edge"/>
              <c:yMode val="edge"/>
              <c:x val="1.9955204248371283E-2"/>
              <c:y val="0.18085111989286234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spPr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1800"/>
            </a:pPr>
            <a:endParaRPr lang="en-US"/>
          </a:p>
        </c:txPr>
        <c:crossAx val="255091800"/>
        <c:crosses val="autoZero"/>
        <c:crossBetween val="midCat"/>
        <c:minorUnit val="0.1"/>
      </c:valAx>
    </c:plotArea>
    <c:plotVisOnly val="1"/>
    <c:dispBlanksAs val="gap"/>
    <c:showDLblsOverMax val="0"/>
  </c:chart>
  <c:spPr>
    <a:ln>
      <a:noFill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224" cy="608286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5"/>
  <sheetViews>
    <sheetView topLeftCell="A217" zoomScale="85" zoomScaleNormal="85" workbookViewId="0">
      <selection activeCell="J145" sqref="J145"/>
    </sheetView>
  </sheetViews>
  <sheetFormatPr defaultRowHeight="15" x14ac:dyDescent="0.25"/>
  <cols>
    <col min="1" max="2" width="7.5703125" customWidth="1"/>
    <col min="3" max="3" width="24.28515625" customWidth="1"/>
    <col min="4" max="4" width="21.5703125" customWidth="1"/>
    <col min="5" max="5" width="14.42578125" customWidth="1"/>
    <col min="6" max="6" width="19" customWidth="1"/>
    <col min="7" max="7" width="18.5703125" customWidth="1"/>
    <col min="8" max="8" width="19.28515625" customWidth="1"/>
    <col min="9" max="9" width="23.7109375" customWidth="1"/>
    <col min="10" max="10" width="28.7109375" customWidth="1"/>
    <col min="11" max="11" width="28.5703125" customWidth="1"/>
    <col min="12" max="12" width="26" customWidth="1"/>
    <col min="13" max="13" width="23.140625" customWidth="1"/>
    <col min="14" max="14" width="25" customWidth="1"/>
    <col min="15" max="15" width="16.28515625" customWidth="1"/>
    <col min="16" max="16" width="33.85546875" customWidth="1"/>
    <col min="17" max="17" width="22.42578125" customWidth="1"/>
    <col min="18" max="18" width="35" customWidth="1"/>
    <col min="19" max="19" width="35.7109375" customWidth="1"/>
    <col min="20" max="20" width="24.28515625" customWidth="1"/>
    <col min="21" max="21" width="21.28515625" customWidth="1"/>
    <col min="24" max="24" width="15.7109375" customWidth="1"/>
    <col min="25" max="25" width="21.5703125" customWidth="1"/>
  </cols>
  <sheetData>
    <row r="1" spans="1:24" s="41" customFormat="1" x14ac:dyDescent="0.25">
      <c r="A1" s="38" t="s">
        <v>33</v>
      </c>
      <c r="B1" s="38"/>
    </row>
    <row r="2" spans="1:24" x14ac:dyDescent="0.25">
      <c r="A2" t="s">
        <v>35</v>
      </c>
      <c r="E2">
        <v>9.5999999999999992E-3</v>
      </c>
    </row>
    <row r="3" spans="1:24" x14ac:dyDescent="0.25">
      <c r="A3" t="s">
        <v>39</v>
      </c>
      <c r="E3">
        <v>25</v>
      </c>
    </row>
    <row r="4" spans="1:24" s="33" customFormat="1" x14ac:dyDescent="0.25">
      <c r="A4" t="s">
        <v>8</v>
      </c>
      <c r="B4"/>
      <c r="C4"/>
      <c r="D4"/>
      <c r="E4">
        <v>0.57799999999999996</v>
      </c>
    </row>
    <row r="5" spans="1:24" x14ac:dyDescent="0.25">
      <c r="A5" t="s">
        <v>34</v>
      </c>
      <c r="E5">
        <v>0.38500000000000001</v>
      </c>
    </row>
    <row r="6" spans="1:24" x14ac:dyDescent="0.25">
      <c r="A6" s="3" t="s">
        <v>15</v>
      </c>
      <c r="B6" s="3"/>
      <c r="C6" s="3"/>
      <c r="E6">
        <v>7.0000000000000001E-3</v>
      </c>
    </row>
    <row r="7" spans="1:24" x14ac:dyDescent="0.25">
      <c r="A7" s="3" t="s">
        <v>9</v>
      </c>
      <c r="B7" s="3"/>
      <c r="E7">
        <v>14963.66</v>
      </c>
    </row>
    <row r="8" spans="1:24" x14ac:dyDescent="0.25">
      <c r="A8" s="3" t="s">
        <v>11</v>
      </c>
      <c r="B8" s="3"/>
      <c r="E8">
        <v>1.1838200000000001</v>
      </c>
    </row>
    <row r="9" spans="1:24" x14ac:dyDescent="0.25">
      <c r="A9" s="3" t="s">
        <v>10</v>
      </c>
      <c r="B9" s="3"/>
      <c r="E9">
        <v>0.88785999999999998</v>
      </c>
    </row>
    <row r="10" spans="1:24" x14ac:dyDescent="0.25">
      <c r="A10" s="3" t="s">
        <v>12</v>
      </c>
      <c r="E10" t="s">
        <v>13</v>
      </c>
    </row>
    <row r="11" spans="1:24" ht="17.25" x14ac:dyDescent="0.25">
      <c r="A11" s="3" t="s">
        <v>14</v>
      </c>
      <c r="B11" s="3"/>
      <c r="E11">
        <f>(8*$E$8)*(5*$E$9)</f>
        <v>42.042657008000006</v>
      </c>
    </row>
    <row r="12" spans="1:24" ht="18" x14ac:dyDescent="0.35">
      <c r="A12" s="3" t="s">
        <v>22</v>
      </c>
      <c r="B12" s="3"/>
      <c r="C12" s="3"/>
      <c r="E12">
        <f>((5*$E$9)/$E$6)*(8*$E$8)</f>
        <v>6006.0938582857152</v>
      </c>
    </row>
    <row r="13" spans="1:24" ht="18" x14ac:dyDescent="0.35">
      <c r="A13" s="3" t="s">
        <v>27</v>
      </c>
      <c r="B13" s="3"/>
      <c r="C13" s="3"/>
      <c r="E13" s="37">
        <f>((1*$E$9)/$E$6)*(1*$E$8)</f>
        <v>150.15234645714287</v>
      </c>
    </row>
    <row r="14" spans="1:24" s="37" customFormat="1" x14ac:dyDescent="0.25">
      <c r="A14" s="40" t="s">
        <v>40</v>
      </c>
      <c r="B14" s="46"/>
      <c r="C14" s="40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</row>
    <row r="15" spans="1:24" s="37" customFormat="1" x14ac:dyDescent="0.25">
      <c r="A15" s="45" t="s">
        <v>31</v>
      </c>
      <c r="B15" s="45"/>
      <c r="C15" s="40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</row>
    <row r="16" spans="1:24" x14ac:dyDescent="0.25">
      <c r="I16" s="44"/>
      <c r="N16" s="1"/>
      <c r="S16" s="1"/>
    </row>
    <row r="17" spans="1:23" x14ac:dyDescent="0.25">
      <c r="I17" s="44"/>
      <c r="R17" s="34"/>
    </row>
    <row r="18" spans="1:23" x14ac:dyDescent="0.25">
      <c r="J18" s="33"/>
      <c r="L18" s="23"/>
      <c r="M18" s="22"/>
      <c r="N18" s="34"/>
      <c r="P18" s="33"/>
      <c r="Q18" s="5"/>
      <c r="R18" s="34"/>
      <c r="S18" s="34"/>
      <c r="T18" s="34"/>
      <c r="V18" s="34"/>
      <c r="W18" s="37"/>
    </row>
    <row r="19" spans="1:23" x14ac:dyDescent="0.25">
      <c r="J19" s="33"/>
      <c r="L19" s="23"/>
      <c r="M19" s="22"/>
      <c r="N19" s="34"/>
      <c r="P19" s="33"/>
      <c r="Q19" s="5"/>
      <c r="R19" s="34"/>
      <c r="S19" s="34"/>
      <c r="T19" s="34"/>
      <c r="V19" s="34"/>
      <c r="W19" s="37"/>
    </row>
    <row r="20" spans="1:23" x14ac:dyDescent="0.25">
      <c r="J20" s="33"/>
      <c r="L20" s="23"/>
      <c r="M20" s="22"/>
      <c r="N20" s="34"/>
      <c r="P20" s="33"/>
      <c r="Q20" s="5"/>
      <c r="R20" s="34"/>
      <c r="S20" s="34"/>
      <c r="T20" s="34"/>
      <c r="V20" s="34"/>
      <c r="W20" s="37"/>
    </row>
    <row r="21" spans="1:23" x14ac:dyDescent="0.25">
      <c r="J21" s="33"/>
      <c r="L21" s="23"/>
      <c r="M21" s="22"/>
      <c r="N21" s="34"/>
      <c r="P21" s="33"/>
      <c r="Q21" s="5"/>
      <c r="R21" s="34"/>
      <c r="S21" s="34"/>
      <c r="T21" s="34"/>
      <c r="V21" s="34"/>
      <c r="W21" s="37"/>
    </row>
    <row r="22" spans="1:23" x14ac:dyDescent="0.25">
      <c r="I22" s="34"/>
      <c r="J22" s="34"/>
      <c r="K22" s="34"/>
      <c r="P22" s="34"/>
      <c r="R22" s="41"/>
      <c r="S22" s="41"/>
      <c r="T22" s="41"/>
      <c r="V22" s="41"/>
      <c r="W22" s="41"/>
    </row>
    <row r="23" spans="1:23" x14ac:dyDescent="0.25">
      <c r="H23" s="34"/>
      <c r="I23" s="34"/>
      <c r="J23" s="34"/>
      <c r="K23" s="34"/>
      <c r="P23" s="34"/>
      <c r="R23" s="41"/>
      <c r="S23" s="41"/>
      <c r="T23" s="41"/>
      <c r="V23" s="41"/>
      <c r="W23" s="41"/>
    </row>
    <row r="24" spans="1:23" x14ac:dyDescent="0.25">
      <c r="A24" s="1" t="s">
        <v>29</v>
      </c>
      <c r="B24" s="1"/>
      <c r="I24" s="2"/>
      <c r="P24" s="5"/>
      <c r="R24" s="41"/>
      <c r="S24" s="41"/>
      <c r="T24" s="41"/>
      <c r="V24" s="41"/>
      <c r="W24" s="41"/>
    </row>
    <row r="25" spans="1:23" ht="18.75" x14ac:dyDescent="0.35">
      <c r="A25" s="1" t="s">
        <v>0</v>
      </c>
      <c r="B25" s="1"/>
      <c r="C25" s="1" t="s">
        <v>1</v>
      </c>
      <c r="D25" s="1" t="s">
        <v>2</v>
      </c>
      <c r="E25" s="1" t="s">
        <v>3</v>
      </c>
      <c r="F25" s="1" t="s">
        <v>5</v>
      </c>
      <c r="G25" s="1" t="s">
        <v>6</v>
      </c>
      <c r="H25" s="1" t="s">
        <v>7</v>
      </c>
      <c r="I25" s="1" t="s">
        <v>4</v>
      </c>
      <c r="J25" s="1" t="s">
        <v>20</v>
      </c>
      <c r="K25" s="1" t="s">
        <v>16</v>
      </c>
      <c r="L25" s="1" t="s">
        <v>17</v>
      </c>
      <c r="M25" s="1" t="s">
        <v>18</v>
      </c>
      <c r="N25" s="1" t="s">
        <v>19</v>
      </c>
      <c r="O25" s="21"/>
      <c r="P25" s="1" t="s">
        <v>23</v>
      </c>
      <c r="R25" s="38" t="s">
        <v>24</v>
      </c>
      <c r="S25" s="38" t="s">
        <v>25</v>
      </c>
      <c r="T25" s="38" t="s">
        <v>26</v>
      </c>
      <c r="V25" s="41"/>
      <c r="W25" s="41"/>
    </row>
    <row r="26" spans="1:23" x14ac:dyDescent="0.25">
      <c r="A26">
        <v>0</v>
      </c>
      <c r="B26">
        <f>C26/2</f>
        <v>2.3278E-2</v>
      </c>
      <c r="C26">
        <v>4.6556E-2</v>
      </c>
      <c r="D26">
        <f t="shared" ref="D26:D43" si="0">C26-$C$26</f>
        <v>0</v>
      </c>
      <c r="E26">
        <f>D26+($E$2*9.81)</f>
        <v>9.4175999999999996E-2</v>
      </c>
      <c r="F26">
        <v>6.75</v>
      </c>
      <c r="G26">
        <f>F26*$E$3</f>
        <v>168.75</v>
      </c>
      <c r="H26">
        <f>E26/G26</f>
        <v>5.5807999999999997E-4</v>
      </c>
      <c r="I26">
        <v>312854.53999999998</v>
      </c>
      <c r="J26">
        <f t="shared" ref="J26:J43" si="1">(I26*$E$4)/1000</f>
        <v>180.82992411999999</v>
      </c>
      <c r="K26">
        <f t="shared" ref="K26:K43" si="2">E26*($E$11/G26)</f>
        <v>2.3463166023024645E-2</v>
      </c>
      <c r="L26">
        <f t="shared" ref="L26:L43" si="3">SQRT((4*$E$6*K26)/(2*3.14*$E$7*J26))</f>
        <v>6.217824141313305E-6</v>
      </c>
      <c r="M26">
        <f t="shared" ref="M26:M43" si="4">2*L26*J26</f>
        <v>2.2487373353303778E-3</v>
      </c>
      <c r="N26">
        <f>(M26/$E$11)*100</f>
        <v>5.3487041385193168E-3</v>
      </c>
      <c r="P26" s="5">
        <f t="shared" ref="P26:P43" si="5">(J26/$E$12)*100</f>
        <v>3.0107741967857495</v>
      </c>
      <c r="R26" s="41">
        <f t="shared" ref="R26:R43" si="6">SQRT((4*$E$6*K26)/(2*3.14*$E$7*$E$12))</f>
        <v>1.0788908935119309E-6</v>
      </c>
      <c r="S26" s="41">
        <f t="shared" ref="S26:S43" si="7">2*R26*$E$12</f>
        <v>1.2959839938564791E-2</v>
      </c>
      <c r="T26" s="41">
        <f t="shared" ref="T26:T43" si="8">(S26/$E$11)*100</f>
        <v>3.0825454100340884E-2</v>
      </c>
      <c r="V26" s="41">
        <f t="shared" ref="V26:V43" si="9">T26/N26</f>
        <v>5.7631630581971773</v>
      </c>
      <c r="W26" s="41">
        <f t="shared" ref="W26:W43" si="10">K26/S26</f>
        <v>1.8104518369246945</v>
      </c>
    </row>
    <row r="27" spans="1:23" x14ac:dyDescent="0.25">
      <c r="A27">
        <v>2</v>
      </c>
      <c r="B27" s="41">
        <f t="shared" ref="B27:B44" si="11">C27/2</f>
        <v>0.40980349999999999</v>
      </c>
      <c r="C27">
        <v>0.81960699999999997</v>
      </c>
      <c r="D27">
        <f t="shared" si="0"/>
        <v>0.77305099999999993</v>
      </c>
      <c r="E27">
        <f t="shared" ref="E27:E43" si="12">D27+($E$2*9.81)</f>
        <v>0.86722699999999997</v>
      </c>
      <c r="F27">
        <v>6.75</v>
      </c>
      <c r="G27">
        <f t="shared" ref="G27:G43" si="13">F27*$E$3</f>
        <v>168.75</v>
      </c>
      <c r="H27">
        <f t="shared" ref="H27:H43" si="14">E27/G27</f>
        <v>5.1391229629629631E-3</v>
      </c>
      <c r="I27">
        <v>703973.71000000008</v>
      </c>
      <c r="J27">
        <f t="shared" si="1"/>
        <v>406.89680438000005</v>
      </c>
      <c r="K27">
        <f t="shared" si="2"/>
        <v>0.21606238405378858</v>
      </c>
      <c r="L27">
        <f t="shared" si="3"/>
        <v>1.2578467162213521E-5</v>
      </c>
      <c r="M27">
        <f t="shared" si="4"/>
        <v>1.0236276184606898E-2</v>
      </c>
      <c r="N27" s="34">
        <f t="shared" ref="N27:N43" si="15">(M27/$E$11)*100</f>
        <v>2.4347357929017446E-2</v>
      </c>
      <c r="P27" s="5">
        <f t="shared" si="5"/>
        <v>6.7747326961709904</v>
      </c>
      <c r="R27" s="41">
        <f t="shared" si="6"/>
        <v>3.2739632674921958E-6</v>
      </c>
      <c r="S27" s="41">
        <f t="shared" si="7"/>
        <v>3.9327461346275822E-2</v>
      </c>
      <c r="T27" s="41">
        <f t="shared" si="8"/>
        <v>9.3541807642634173E-2</v>
      </c>
      <c r="V27" s="41">
        <f t="shared" si="9"/>
        <v>3.8419695441019508</v>
      </c>
      <c r="W27" s="41">
        <f t="shared" si="10"/>
        <v>5.4939316359978818</v>
      </c>
    </row>
    <row r="28" spans="1:23" x14ac:dyDescent="0.25">
      <c r="A28">
        <v>4</v>
      </c>
      <c r="B28" s="41">
        <f t="shared" si="11"/>
        <v>0.83250800000000003</v>
      </c>
      <c r="C28">
        <v>1.6650160000000001</v>
      </c>
      <c r="D28">
        <f t="shared" si="0"/>
        <v>1.61846</v>
      </c>
      <c r="E28">
        <f t="shared" si="12"/>
        <v>1.712636</v>
      </c>
      <c r="F28">
        <v>6.75</v>
      </c>
      <c r="G28">
        <f t="shared" si="13"/>
        <v>168.75</v>
      </c>
      <c r="H28">
        <f t="shared" si="14"/>
        <v>1.0148954074074075E-2</v>
      </c>
      <c r="I28">
        <v>930643.61</v>
      </c>
      <c r="J28">
        <f t="shared" si="1"/>
        <v>537.91200657999991</v>
      </c>
      <c r="K28">
        <f t="shared" si="2"/>
        <v>0.42668899512624064</v>
      </c>
      <c r="L28">
        <f t="shared" si="3"/>
        <v>1.5373770012478669E-5</v>
      </c>
      <c r="M28">
        <f t="shared" si="4"/>
        <v>1.6539470952223662E-2</v>
      </c>
      <c r="N28" s="34">
        <f t="shared" si="15"/>
        <v>3.9339737612388487E-2</v>
      </c>
      <c r="P28" s="5">
        <f t="shared" si="5"/>
        <v>8.956103905001795</v>
      </c>
      <c r="R28" s="41">
        <f t="shared" si="6"/>
        <v>4.6008697812635499E-6</v>
      </c>
      <c r="S28" s="41">
        <f t="shared" si="7"/>
        <v>5.5266511472038697E-2</v>
      </c>
      <c r="T28" s="41">
        <f t="shared" si="8"/>
        <v>0.1314534223218157</v>
      </c>
      <c r="V28" s="41">
        <f t="shared" si="9"/>
        <v>3.3414920967957769</v>
      </c>
      <c r="W28" s="41">
        <f t="shared" si="10"/>
        <v>7.7205704460307372</v>
      </c>
    </row>
    <row r="29" spans="1:23" x14ac:dyDescent="0.25">
      <c r="A29">
        <v>6</v>
      </c>
      <c r="B29" s="41">
        <f t="shared" si="11"/>
        <v>1.2212155</v>
      </c>
      <c r="C29">
        <v>2.442431</v>
      </c>
      <c r="D29">
        <f t="shared" si="0"/>
        <v>2.3958750000000002</v>
      </c>
      <c r="E29">
        <f t="shared" si="12"/>
        <v>2.4900510000000002</v>
      </c>
      <c r="F29">
        <v>6.75</v>
      </c>
      <c r="G29">
        <f t="shared" si="13"/>
        <v>168.75</v>
      </c>
      <c r="H29">
        <f t="shared" si="14"/>
        <v>1.4755857777777779E-2</v>
      </c>
      <c r="I29">
        <v>1123649.8399999999</v>
      </c>
      <c r="J29">
        <f t="shared" si="1"/>
        <v>649.46960751999984</v>
      </c>
      <c r="K29">
        <f t="shared" si="2"/>
        <v>0.62037546740994043</v>
      </c>
      <c r="L29">
        <f t="shared" si="3"/>
        <v>1.687050835567718E-5</v>
      </c>
      <c r="M29">
        <f t="shared" si="4"/>
        <v>2.1913764880849073E-2</v>
      </c>
      <c r="N29" s="34">
        <f t="shared" si="15"/>
        <v>5.2122692618307293E-2</v>
      </c>
      <c r="P29" s="5">
        <f t="shared" si="5"/>
        <v>10.813510791610808</v>
      </c>
      <c r="R29" s="41">
        <f t="shared" si="6"/>
        <v>5.5476816100794867E-6</v>
      </c>
      <c r="S29" s="41">
        <f t="shared" si="7"/>
        <v>6.6639792892046024E-2</v>
      </c>
      <c r="T29" s="41">
        <f t="shared" si="8"/>
        <v>0.15850518885941392</v>
      </c>
      <c r="V29" s="41">
        <f t="shared" si="9"/>
        <v>3.0410015464884372</v>
      </c>
      <c r="W29" s="41">
        <f t="shared" si="10"/>
        <v>9.3093846857376263</v>
      </c>
    </row>
    <row r="30" spans="1:23" x14ac:dyDescent="0.25">
      <c r="A30">
        <v>8</v>
      </c>
      <c r="B30" s="41">
        <f t="shared" si="11"/>
        <v>1.589512</v>
      </c>
      <c r="C30">
        <v>3.1790240000000001</v>
      </c>
      <c r="D30">
        <f t="shared" si="0"/>
        <v>3.1324680000000003</v>
      </c>
      <c r="E30">
        <f t="shared" si="12"/>
        <v>3.2266440000000003</v>
      </c>
      <c r="F30">
        <v>6.75</v>
      </c>
      <c r="G30">
        <f t="shared" si="13"/>
        <v>168.75</v>
      </c>
      <c r="H30">
        <f t="shared" si="14"/>
        <v>1.9120853333333337E-2</v>
      </c>
      <c r="I30">
        <v>1232932.21</v>
      </c>
      <c r="J30">
        <f t="shared" si="1"/>
        <v>712.63481737999996</v>
      </c>
      <c r="K30">
        <f t="shared" si="2"/>
        <v>0.80389147839360708</v>
      </c>
      <c r="L30">
        <f t="shared" si="3"/>
        <v>1.8333503759378117E-5</v>
      </c>
      <c r="M30">
        <f t="shared" si="4"/>
        <v>2.6130186206999934E-2</v>
      </c>
      <c r="N30" s="34">
        <f t="shared" si="15"/>
        <v>6.2151605218546971E-2</v>
      </c>
      <c r="P30" s="5">
        <f t="shared" si="5"/>
        <v>11.865196152352556</v>
      </c>
      <c r="R30" s="41">
        <f t="shared" si="6"/>
        <v>6.3151392761677503E-6</v>
      </c>
      <c r="S30" s="41">
        <f t="shared" si="7"/>
        <v>7.5858638441620038E-2</v>
      </c>
      <c r="T30" s="41">
        <f t="shared" si="8"/>
        <v>0.18043255074764999</v>
      </c>
      <c r="V30" s="41">
        <f t="shared" si="9"/>
        <v>2.9031036304402034</v>
      </c>
      <c r="W30" s="41">
        <f t="shared" si="10"/>
        <v>10.59723051860828</v>
      </c>
    </row>
    <row r="31" spans="1:23" x14ac:dyDescent="0.25">
      <c r="A31">
        <v>10</v>
      </c>
      <c r="B31" s="41">
        <f t="shared" si="11"/>
        <v>1.9621154999999999</v>
      </c>
      <c r="C31">
        <v>3.9242309999999998</v>
      </c>
      <c r="D31">
        <f t="shared" si="0"/>
        <v>3.877675</v>
      </c>
      <c r="E31">
        <f t="shared" si="12"/>
        <v>3.971851</v>
      </c>
      <c r="F31">
        <v>6.75</v>
      </c>
      <c r="G31">
        <f t="shared" si="13"/>
        <v>168.75</v>
      </c>
      <c r="H31">
        <f t="shared" si="14"/>
        <v>2.3536894814814815E-2</v>
      </c>
      <c r="I31">
        <v>1323808.8599999994</v>
      </c>
      <c r="J31">
        <f t="shared" si="1"/>
        <v>765.1615210799996</v>
      </c>
      <c r="K31">
        <f t="shared" si="2"/>
        <v>0.98955359573263313</v>
      </c>
      <c r="L31">
        <f t="shared" si="3"/>
        <v>1.9630139127126039E-5</v>
      </c>
      <c r="M31">
        <f t="shared" si="4"/>
        <v>3.0040454227047552E-2</v>
      </c>
      <c r="N31" s="34">
        <f t="shared" si="15"/>
        <v>7.1452320963756796E-2</v>
      </c>
      <c r="P31" s="5">
        <f t="shared" si="5"/>
        <v>12.739752976461064</v>
      </c>
      <c r="R31" s="41">
        <f t="shared" si="6"/>
        <v>7.0065444444184728E-6</v>
      </c>
      <c r="S31" s="41">
        <f t="shared" si="7"/>
        <v>8.416392711085538E-2</v>
      </c>
      <c r="T31" s="41">
        <f t="shared" si="8"/>
        <v>0.20018698412624208</v>
      </c>
      <c r="V31" s="41">
        <f t="shared" si="9"/>
        <v>2.80168623532585</v>
      </c>
      <c r="W31" s="41">
        <f t="shared" si="10"/>
        <v>11.757455120045147</v>
      </c>
    </row>
    <row r="32" spans="1:23" x14ac:dyDescent="0.25">
      <c r="A32">
        <v>11</v>
      </c>
      <c r="B32" s="41">
        <f t="shared" si="11"/>
        <v>2.4602355</v>
      </c>
      <c r="C32">
        <v>4.920471</v>
      </c>
      <c r="D32">
        <f t="shared" si="0"/>
        <v>4.8739150000000002</v>
      </c>
      <c r="E32">
        <f t="shared" si="12"/>
        <v>4.9680910000000003</v>
      </c>
      <c r="F32">
        <v>6.75</v>
      </c>
      <c r="G32">
        <f t="shared" si="13"/>
        <v>168.75</v>
      </c>
      <c r="H32">
        <f t="shared" si="14"/>
        <v>2.9440539259259262E-2</v>
      </c>
      <c r="I32">
        <v>1530860.4899999995</v>
      </c>
      <c r="J32">
        <f t="shared" si="1"/>
        <v>884.8373632199997</v>
      </c>
      <c r="K32">
        <f t="shared" si="2"/>
        <v>1.2377584942075956</v>
      </c>
      <c r="L32">
        <f t="shared" si="3"/>
        <v>2.0415805011928777E-5</v>
      </c>
      <c r="M32">
        <f t="shared" si="4"/>
        <v>3.612933414953743E-2</v>
      </c>
      <c r="N32" s="34">
        <f t="shared" si="15"/>
        <v>8.5934944936193317E-2</v>
      </c>
      <c r="P32" s="5">
        <f t="shared" si="5"/>
        <v>14.732326601911508</v>
      </c>
      <c r="R32" s="41">
        <f t="shared" si="6"/>
        <v>7.8361398522158583E-6</v>
      </c>
      <c r="S32" s="41">
        <f t="shared" si="7"/>
        <v>9.4129182878123191E-2</v>
      </c>
      <c r="T32" s="41">
        <f t="shared" si="8"/>
        <v>0.22388971006331021</v>
      </c>
      <c r="V32" s="41">
        <f t="shared" si="9"/>
        <v>2.6053395417841752</v>
      </c>
      <c r="W32" s="41">
        <f t="shared" si="10"/>
        <v>13.149572283127364</v>
      </c>
    </row>
    <row r="33" spans="1:23" x14ac:dyDescent="0.25">
      <c r="A33">
        <v>12</v>
      </c>
      <c r="B33" s="41">
        <f t="shared" si="11"/>
        <v>2.9725424999999999</v>
      </c>
      <c r="C33">
        <v>5.9450849999999997</v>
      </c>
      <c r="D33">
        <f t="shared" si="0"/>
        <v>5.8985289999999999</v>
      </c>
      <c r="E33">
        <f t="shared" si="12"/>
        <v>5.9927049999999999</v>
      </c>
      <c r="F33">
        <v>6.75</v>
      </c>
      <c r="G33">
        <f t="shared" si="13"/>
        <v>168.75</v>
      </c>
      <c r="H33">
        <f t="shared" si="14"/>
        <v>3.5512325925925924E-2</v>
      </c>
      <c r="I33">
        <v>1646030.8799999992</v>
      </c>
      <c r="J33">
        <f t="shared" si="1"/>
        <v>951.40584863999948</v>
      </c>
      <c r="K33">
        <f t="shared" si="2"/>
        <v>1.4930325384600101</v>
      </c>
      <c r="L33">
        <f t="shared" si="3"/>
        <v>2.1623799499194268E-5</v>
      </c>
      <c r="M33">
        <f t="shared" si="4"/>
        <v>4.1146018626704237E-2</v>
      </c>
      <c r="N33" s="34">
        <f t="shared" si="15"/>
        <v>9.7867312760168426E-2</v>
      </c>
      <c r="P33" s="5">
        <f t="shared" si="5"/>
        <v>15.840675671884252</v>
      </c>
      <c r="R33" s="41">
        <f t="shared" si="6"/>
        <v>8.6063470882122027E-6</v>
      </c>
      <c r="S33" s="41">
        <f t="shared" si="7"/>
        <v>0.10338105677757292</v>
      </c>
      <c r="T33" s="41">
        <f t="shared" si="8"/>
        <v>0.24589563109177726</v>
      </c>
      <c r="V33" s="41">
        <f t="shared" si="9"/>
        <v>2.5125409511791124</v>
      </c>
      <c r="W33" s="41">
        <f t="shared" si="10"/>
        <v>14.442032080135426</v>
      </c>
    </row>
    <row r="34" spans="1:23" x14ac:dyDescent="0.25">
      <c r="A34">
        <v>13</v>
      </c>
      <c r="B34" s="41">
        <f t="shared" si="11"/>
        <v>3.9151060000000002</v>
      </c>
      <c r="C34">
        <v>7.8302120000000004</v>
      </c>
      <c r="D34">
        <f t="shared" si="0"/>
        <v>7.7836560000000006</v>
      </c>
      <c r="E34">
        <f t="shared" si="12"/>
        <v>7.8778320000000006</v>
      </c>
      <c r="F34">
        <v>6.75</v>
      </c>
      <c r="G34">
        <f t="shared" si="13"/>
        <v>168.75</v>
      </c>
      <c r="H34">
        <f t="shared" si="14"/>
        <v>4.6683448888888895E-2</v>
      </c>
      <c r="I34">
        <v>1780477.9699999993</v>
      </c>
      <c r="J34">
        <f t="shared" si="1"/>
        <v>1029.1162666599996</v>
      </c>
      <c r="K34">
        <f t="shared" si="2"/>
        <v>1.9626962295860548</v>
      </c>
      <c r="L34">
        <f t="shared" si="3"/>
        <v>2.3838262653052131E-5</v>
      </c>
      <c r="M34">
        <f t="shared" si="4"/>
        <v>4.9064687730339014E-2</v>
      </c>
      <c r="N34" s="34">
        <f t="shared" si="15"/>
        <v>0.11670215733749377</v>
      </c>
      <c r="P34" s="5">
        <f t="shared" si="5"/>
        <v>17.134535206110389</v>
      </c>
      <c r="R34" s="41">
        <f t="shared" si="6"/>
        <v>9.8675824677382199E-6</v>
      </c>
      <c r="S34" s="41">
        <f t="shared" si="7"/>
        <v>0.11853125291122064</v>
      </c>
      <c r="T34" s="41">
        <f t="shared" si="8"/>
        <v>0.28193092764966343</v>
      </c>
      <c r="V34" s="41">
        <f t="shared" si="9"/>
        <v>2.4158159033370792</v>
      </c>
      <c r="W34" s="41">
        <f t="shared" si="10"/>
        <v>16.558470288474087</v>
      </c>
    </row>
    <row r="35" spans="1:23" x14ac:dyDescent="0.25">
      <c r="A35">
        <v>14</v>
      </c>
      <c r="B35" s="41">
        <f t="shared" si="11"/>
        <v>5.95892</v>
      </c>
      <c r="C35">
        <v>11.91784</v>
      </c>
      <c r="D35">
        <f t="shared" si="0"/>
        <v>11.871283999999999</v>
      </c>
      <c r="E35">
        <f t="shared" si="12"/>
        <v>11.965459999999998</v>
      </c>
      <c r="F35">
        <v>6.75</v>
      </c>
      <c r="G35">
        <f t="shared" si="13"/>
        <v>168.75</v>
      </c>
      <c r="H35">
        <f t="shared" si="14"/>
        <v>7.0906429629629619E-2</v>
      </c>
      <c r="I35">
        <v>2079215.7399999988</v>
      </c>
      <c r="J35">
        <f t="shared" si="1"/>
        <v>1201.7866977199992</v>
      </c>
      <c r="K35">
        <f t="shared" si="2"/>
        <v>2.9810947005804072</v>
      </c>
      <c r="L35">
        <f t="shared" si="3"/>
        <v>2.7186573111986661E-5</v>
      </c>
      <c r="M35">
        <f t="shared" si="4"/>
        <v>6.5344923845155542E-2</v>
      </c>
      <c r="N35" s="34">
        <f t="shared" si="15"/>
        <v>0.15542529539158648</v>
      </c>
      <c r="P35" s="5">
        <f t="shared" si="5"/>
        <v>20.009455830632294</v>
      </c>
      <c r="R35" s="41">
        <f t="shared" si="6"/>
        <v>1.2161078919304083E-5</v>
      </c>
      <c r="S35" s="41">
        <f t="shared" si="7"/>
        <v>0.14608116281472028</v>
      </c>
      <c r="T35" s="41">
        <f t="shared" si="8"/>
        <v>0.34745939769440237</v>
      </c>
      <c r="V35" s="41">
        <f t="shared" si="9"/>
        <v>2.2355395678611729</v>
      </c>
      <c r="W35" s="41">
        <f t="shared" si="10"/>
        <v>20.407112341797493</v>
      </c>
    </row>
    <row r="36" spans="1:23" x14ac:dyDescent="0.25">
      <c r="A36">
        <v>15</v>
      </c>
      <c r="B36" s="41">
        <f t="shared" si="11"/>
        <v>7.9760400000000002</v>
      </c>
      <c r="C36">
        <v>15.95208</v>
      </c>
      <c r="D36">
        <f t="shared" si="0"/>
        <v>15.905524</v>
      </c>
      <c r="E36">
        <f t="shared" si="12"/>
        <v>15.999699999999999</v>
      </c>
      <c r="F36">
        <v>6.75</v>
      </c>
      <c r="G36">
        <f t="shared" si="13"/>
        <v>168.75</v>
      </c>
      <c r="H36">
        <f t="shared" si="14"/>
        <v>9.4813037037037029E-2</v>
      </c>
      <c r="I36">
        <v>2346532.0899999989</v>
      </c>
      <c r="J36">
        <f t="shared" si="1"/>
        <v>1356.2955480199992</v>
      </c>
      <c r="K36">
        <f t="shared" si="2"/>
        <v>3.9861919960349494</v>
      </c>
      <c r="L36">
        <f t="shared" si="3"/>
        <v>2.9592538154298116E-5</v>
      </c>
      <c r="M36">
        <f t="shared" si="4"/>
        <v>8.0272455506572998E-2</v>
      </c>
      <c r="N36" s="34">
        <f t="shared" si="15"/>
        <v>0.19093097634456954</v>
      </c>
      <c r="P36" s="5">
        <f t="shared" si="5"/>
        <v>22.581990558621055</v>
      </c>
      <c r="R36" s="41">
        <f t="shared" si="6"/>
        <v>1.4062525629523036E-5</v>
      </c>
      <c r="S36" s="41">
        <f t="shared" si="7"/>
        <v>0.16892169763092754</v>
      </c>
      <c r="T36" s="41">
        <f t="shared" si="8"/>
        <v>0.40178644655780105</v>
      </c>
      <c r="V36" s="41">
        <f t="shared" si="9"/>
        <v>2.1043544334718356</v>
      </c>
      <c r="W36" s="41">
        <f t="shared" si="10"/>
        <v>23.597868432178988</v>
      </c>
    </row>
    <row r="37" spans="1:23" x14ac:dyDescent="0.25">
      <c r="A37">
        <v>16</v>
      </c>
      <c r="B37" s="41">
        <f t="shared" si="11"/>
        <v>9.9805250000000001</v>
      </c>
      <c r="C37">
        <v>19.96105</v>
      </c>
      <c r="D37">
        <f t="shared" si="0"/>
        <v>19.914494000000001</v>
      </c>
      <c r="E37">
        <f t="shared" si="12"/>
        <v>20.008670000000002</v>
      </c>
      <c r="F37">
        <v>6.75</v>
      </c>
      <c r="G37">
        <f t="shared" si="13"/>
        <v>168.75</v>
      </c>
      <c r="H37">
        <f t="shared" si="14"/>
        <v>0.11856989629629631</v>
      </c>
      <c r="I37">
        <v>2557989.4699999993</v>
      </c>
      <c r="J37">
        <f t="shared" si="1"/>
        <v>1478.5179136599993</v>
      </c>
      <c r="K37">
        <f t="shared" si="2"/>
        <v>4.9849934814593162</v>
      </c>
      <c r="L37">
        <f t="shared" si="3"/>
        <v>3.1695622077776444E-5</v>
      </c>
      <c r="M37">
        <f t="shared" si="4"/>
        <v>9.372509005317968E-2</v>
      </c>
      <c r="N37" s="34">
        <f t="shared" si="15"/>
        <v>0.22292856047453277</v>
      </c>
      <c r="P37" s="5">
        <f t="shared" si="5"/>
        <v>24.616963180159228</v>
      </c>
      <c r="R37" s="41">
        <f t="shared" si="6"/>
        <v>1.5725936509792451E-5</v>
      </c>
      <c r="S37" s="41">
        <f t="shared" si="7"/>
        <v>0.18890290137451107</v>
      </c>
      <c r="T37" s="41">
        <f t="shared" si="8"/>
        <v>0.44931247170835575</v>
      </c>
      <c r="V37" s="41">
        <f t="shared" si="9"/>
        <v>2.0154998119215191</v>
      </c>
      <c r="W37" s="41">
        <f t="shared" si="10"/>
        <v>26.389184312083565</v>
      </c>
    </row>
    <row r="38" spans="1:23" x14ac:dyDescent="0.25">
      <c r="A38">
        <v>17</v>
      </c>
      <c r="B38" s="41">
        <f t="shared" si="11"/>
        <v>11.89429</v>
      </c>
      <c r="C38">
        <v>23.78858</v>
      </c>
      <c r="D38">
        <f t="shared" si="0"/>
        <v>23.742024000000001</v>
      </c>
      <c r="E38">
        <f t="shared" si="12"/>
        <v>23.836200000000002</v>
      </c>
      <c r="F38">
        <v>6.75</v>
      </c>
      <c r="G38">
        <f t="shared" si="13"/>
        <v>168.75</v>
      </c>
      <c r="H38">
        <f t="shared" si="14"/>
        <v>0.14125155555555557</v>
      </c>
      <c r="I38">
        <v>2618819.3399999989</v>
      </c>
      <c r="J38">
        <f t="shared" si="1"/>
        <v>1513.6775785199993</v>
      </c>
      <c r="K38">
        <f t="shared" si="2"/>
        <v>5.938590702068681</v>
      </c>
      <c r="L38">
        <f t="shared" si="3"/>
        <v>3.4190486932591853E-5</v>
      </c>
      <c r="M38">
        <f t="shared" si="4"/>
        <v>0.10350674693709062</v>
      </c>
      <c r="N38" s="34">
        <f t="shared" si="15"/>
        <v>0.2461945897410695</v>
      </c>
      <c r="P38" s="5">
        <f t="shared" si="5"/>
        <v>25.202363037197685</v>
      </c>
      <c r="R38" s="41">
        <f t="shared" si="6"/>
        <v>1.7164292925127727E-5</v>
      </c>
      <c r="S38" s="41">
        <f t="shared" si="7"/>
        <v>0.20618070863885318</v>
      </c>
      <c r="T38" s="41">
        <f t="shared" si="8"/>
        <v>0.4904083692893636</v>
      </c>
      <c r="V38" s="41">
        <f t="shared" si="9"/>
        <v>1.9919542903243379</v>
      </c>
      <c r="W38" s="41">
        <f t="shared" si="10"/>
        <v>28.802843589361874</v>
      </c>
    </row>
    <row r="39" spans="1:23" x14ac:dyDescent="0.25">
      <c r="A39">
        <v>18</v>
      </c>
      <c r="B39" s="41">
        <f t="shared" si="11"/>
        <v>13.866115000000001</v>
      </c>
      <c r="C39">
        <v>27.732230000000001</v>
      </c>
      <c r="D39">
        <f t="shared" si="0"/>
        <v>27.685674000000002</v>
      </c>
      <c r="E39">
        <f t="shared" si="12"/>
        <v>27.779850000000003</v>
      </c>
      <c r="F39">
        <v>6.75</v>
      </c>
      <c r="G39">
        <f t="shared" si="13"/>
        <v>168.75</v>
      </c>
      <c r="H39">
        <f t="shared" si="14"/>
        <v>0.16462133333333334</v>
      </c>
      <c r="I39">
        <v>2759392.9899999988</v>
      </c>
      <c r="J39">
        <f t="shared" si="1"/>
        <v>1594.9291482199992</v>
      </c>
      <c r="K39">
        <f t="shared" si="2"/>
        <v>6.9211182535329732</v>
      </c>
      <c r="L39">
        <f t="shared" si="3"/>
        <v>3.5958181086253113E-5</v>
      </c>
      <c r="M39">
        <f t="shared" si="4"/>
        <v>0.11470150226287633</v>
      </c>
      <c r="N39" s="34">
        <f t="shared" si="15"/>
        <v>0.27282172542294503</v>
      </c>
      <c r="P39" s="5">
        <f t="shared" si="5"/>
        <v>26.555181884474088</v>
      </c>
      <c r="R39" s="41">
        <f t="shared" si="6"/>
        <v>1.8529869272225854E-5</v>
      </c>
      <c r="S39" s="41">
        <f t="shared" si="7"/>
        <v>0.2225842680615058</v>
      </c>
      <c r="T39" s="41">
        <f t="shared" si="8"/>
        <v>0.52942483634931015</v>
      </c>
      <c r="V39" s="41">
        <f t="shared" si="9"/>
        <v>1.940552335150594</v>
      </c>
      <c r="W39" s="41">
        <f t="shared" si="10"/>
        <v>31.094372993245365</v>
      </c>
    </row>
    <row r="40" spans="1:23" x14ac:dyDescent="0.25">
      <c r="A40">
        <v>19</v>
      </c>
      <c r="B40" s="41">
        <f t="shared" si="11"/>
        <v>15.94524</v>
      </c>
      <c r="C40">
        <v>31.89048</v>
      </c>
      <c r="D40">
        <f t="shared" si="0"/>
        <v>31.843924000000001</v>
      </c>
      <c r="E40">
        <f t="shared" si="12"/>
        <v>31.938100000000002</v>
      </c>
      <c r="F40">
        <v>6.75</v>
      </c>
      <c r="G40">
        <f t="shared" si="13"/>
        <v>168.75</v>
      </c>
      <c r="H40">
        <f t="shared" si="14"/>
        <v>0.18926281481481483</v>
      </c>
      <c r="I40">
        <v>2898572.0799999991</v>
      </c>
      <c r="J40">
        <f t="shared" si="1"/>
        <v>1675.3746622399992</v>
      </c>
      <c r="K40">
        <f t="shared" si="2"/>
        <v>7.9571116076278825</v>
      </c>
      <c r="L40">
        <f t="shared" si="3"/>
        <v>3.7618548221980715E-5</v>
      </c>
      <c r="M40">
        <f t="shared" si="4"/>
        <v>0.12605032504272012</v>
      </c>
      <c r="N40" s="34">
        <f t="shared" si="15"/>
        <v>0.29981531618882906</v>
      </c>
      <c r="P40" s="5">
        <f t="shared" si="5"/>
        <v>27.894580100987493</v>
      </c>
      <c r="R40" s="41">
        <f t="shared" si="6"/>
        <v>1.9868356563662358E-5</v>
      </c>
      <c r="S40" s="41">
        <f t="shared" si="7"/>
        <v>0.23866242866248633</v>
      </c>
      <c r="T40" s="41">
        <f t="shared" si="8"/>
        <v>0.56766733039035311</v>
      </c>
      <c r="V40" s="41">
        <f t="shared" si="9"/>
        <v>1.8933900295901696</v>
      </c>
      <c r="W40" s="41">
        <f t="shared" si="10"/>
        <v>33.340445130895482</v>
      </c>
    </row>
    <row r="41" spans="1:23" x14ac:dyDescent="0.25">
      <c r="A41">
        <v>20</v>
      </c>
      <c r="B41" s="41">
        <f t="shared" si="11"/>
        <v>17.879529999999999</v>
      </c>
      <c r="C41">
        <v>35.759059999999998</v>
      </c>
      <c r="D41">
        <f t="shared" si="0"/>
        <v>35.712503999999996</v>
      </c>
      <c r="E41">
        <f t="shared" si="12"/>
        <v>35.806679999999993</v>
      </c>
      <c r="F41">
        <v>6.75</v>
      </c>
      <c r="G41">
        <f t="shared" si="13"/>
        <v>168.75</v>
      </c>
      <c r="H41">
        <f t="shared" si="14"/>
        <v>0.21218773333333329</v>
      </c>
      <c r="I41">
        <v>2991430.7299999991</v>
      </c>
      <c r="J41">
        <f t="shared" si="1"/>
        <v>1729.0469619399994</v>
      </c>
      <c r="K41">
        <f t="shared" si="2"/>
        <v>8.9209360938383018</v>
      </c>
      <c r="L41">
        <f t="shared" si="3"/>
        <v>3.9208668798342948E-5</v>
      </c>
      <c r="M41">
        <f t="shared" si="4"/>
        <v>0.13558725933497304</v>
      </c>
      <c r="N41" s="34">
        <f t="shared" si="15"/>
        <v>0.32249926380526589</v>
      </c>
      <c r="P41" s="5">
        <f t="shared" si="5"/>
        <v>28.788210819494441</v>
      </c>
      <c r="R41" s="41">
        <f t="shared" si="6"/>
        <v>2.1037272607891774E-5</v>
      </c>
      <c r="S41" s="41">
        <f t="shared" si="7"/>
        <v>0.25270366761068219</v>
      </c>
      <c r="T41" s="41">
        <f t="shared" si="8"/>
        <v>0.60106493165405073</v>
      </c>
      <c r="V41" s="41">
        <f t="shared" si="9"/>
        <v>1.8637714845048161</v>
      </c>
      <c r="W41" s="41">
        <f t="shared" si="10"/>
        <v>35.301965255138228</v>
      </c>
    </row>
    <row r="42" spans="1:23" x14ac:dyDescent="0.25">
      <c r="A42">
        <v>21</v>
      </c>
      <c r="B42" s="41">
        <f t="shared" si="11"/>
        <v>19.98423</v>
      </c>
      <c r="C42">
        <v>39.96846</v>
      </c>
      <c r="D42">
        <f t="shared" si="0"/>
        <v>39.921903999999998</v>
      </c>
      <c r="E42">
        <f t="shared" si="12"/>
        <v>40.016079999999995</v>
      </c>
      <c r="F42">
        <v>6.75</v>
      </c>
      <c r="G42">
        <f t="shared" si="13"/>
        <v>168.75</v>
      </c>
      <c r="H42">
        <f t="shared" si="14"/>
        <v>0.2371323259259259</v>
      </c>
      <c r="I42">
        <v>3028503.3399999989</v>
      </c>
      <c r="J42">
        <f t="shared" si="1"/>
        <v>1750.4749305199991</v>
      </c>
      <c r="K42">
        <f t="shared" si="2"/>
        <v>9.9696730444129713</v>
      </c>
      <c r="L42">
        <f t="shared" si="3"/>
        <v>4.1194836942741096E-5</v>
      </c>
      <c r="M42">
        <f t="shared" si="4"/>
        <v>0.14422105867025484</v>
      </c>
      <c r="N42" s="34">
        <f t="shared" si="15"/>
        <v>0.34303507183861381</v>
      </c>
      <c r="P42" s="5">
        <f t="shared" si="5"/>
        <v>29.144981277725606</v>
      </c>
      <c r="R42" s="41">
        <f t="shared" si="6"/>
        <v>2.2239482564825137E-5</v>
      </c>
      <c r="S42" s="41">
        <f t="shared" si="7"/>
        <v>0.26714483928809701</v>
      </c>
      <c r="T42" s="41">
        <f t="shared" si="8"/>
        <v>0.63541378756643252</v>
      </c>
      <c r="V42" s="41">
        <f t="shared" si="9"/>
        <v>1.8523289299858319</v>
      </c>
      <c r="W42" s="41">
        <f t="shared" si="10"/>
        <v>37.31935481509106</v>
      </c>
    </row>
    <row r="43" spans="1:23" x14ac:dyDescent="0.25">
      <c r="A43">
        <v>22</v>
      </c>
      <c r="B43" s="41">
        <f t="shared" si="11"/>
        <v>22.738225</v>
      </c>
      <c r="C43">
        <v>45.47645</v>
      </c>
      <c r="D43">
        <f t="shared" si="0"/>
        <v>45.429893999999997</v>
      </c>
      <c r="E43">
        <f t="shared" si="12"/>
        <v>45.524069999999995</v>
      </c>
      <c r="F43">
        <v>6.75</v>
      </c>
      <c r="G43">
        <f t="shared" si="13"/>
        <v>168.75</v>
      </c>
      <c r="H43">
        <f t="shared" si="14"/>
        <v>0.26977226666666665</v>
      </c>
      <c r="I43">
        <v>3176087.8499999987</v>
      </c>
      <c r="J43">
        <f t="shared" si="1"/>
        <v>1835.7787772999991</v>
      </c>
      <c r="K43">
        <f t="shared" si="2"/>
        <v>11.341942877737379</v>
      </c>
      <c r="L43">
        <f t="shared" si="3"/>
        <v>4.290558555186551E-5</v>
      </c>
      <c r="M43">
        <f t="shared" si="4"/>
        <v>0.15753032676748835</v>
      </c>
      <c r="N43" s="34">
        <f t="shared" si="15"/>
        <v>0.37469165361626167</v>
      </c>
      <c r="P43" s="5">
        <f t="shared" si="5"/>
        <v>30.565269551481418</v>
      </c>
      <c r="R43" s="41">
        <f t="shared" si="6"/>
        <v>2.3720724440730864E-5</v>
      </c>
      <c r="S43" s="41">
        <f t="shared" si="7"/>
        <v>0.28493779475512299</v>
      </c>
      <c r="T43" s="41">
        <f t="shared" si="8"/>
        <v>0.67773498402088173</v>
      </c>
      <c r="V43" s="41">
        <f t="shared" si="9"/>
        <v>1.8087805732523206</v>
      </c>
      <c r="W43" s="41">
        <f t="shared" si="10"/>
        <v>39.804978793651095</v>
      </c>
    </row>
    <row r="44" spans="1:23" x14ac:dyDescent="0.25">
      <c r="B44" s="41">
        <f t="shared" si="11"/>
        <v>0</v>
      </c>
      <c r="P44" s="5"/>
    </row>
    <row r="45" spans="1:23" x14ac:dyDescent="0.25">
      <c r="P45" s="5"/>
    </row>
    <row r="46" spans="1:23" x14ac:dyDescent="0.25">
      <c r="A46" s="1" t="s">
        <v>36</v>
      </c>
      <c r="B46" s="1"/>
      <c r="I46" s="2"/>
      <c r="P46" s="5"/>
    </row>
    <row r="47" spans="1:23" ht="18.75" x14ac:dyDescent="0.35">
      <c r="A47" s="1" t="s">
        <v>0</v>
      </c>
      <c r="B47" s="1"/>
      <c r="C47" s="1" t="s">
        <v>1</v>
      </c>
      <c r="D47" s="1" t="s">
        <v>2</v>
      </c>
      <c r="E47" s="1" t="s">
        <v>3</v>
      </c>
      <c r="F47" s="1" t="s">
        <v>5</v>
      </c>
      <c r="G47" s="1" t="s">
        <v>6</v>
      </c>
      <c r="H47" s="1" t="s">
        <v>7</v>
      </c>
      <c r="I47" s="1" t="s">
        <v>4</v>
      </c>
      <c r="J47" s="1" t="s">
        <v>21</v>
      </c>
      <c r="K47" s="1" t="s">
        <v>16</v>
      </c>
      <c r="L47" s="1" t="s">
        <v>17</v>
      </c>
      <c r="M47" s="1" t="s">
        <v>18</v>
      </c>
      <c r="N47" s="1" t="s">
        <v>19</v>
      </c>
      <c r="O47" s="21"/>
      <c r="P47" s="1" t="s">
        <v>23</v>
      </c>
    </row>
    <row r="48" spans="1:23" x14ac:dyDescent="0.25">
      <c r="A48">
        <v>0</v>
      </c>
      <c r="C48">
        <v>5.7785999999999997E-2</v>
      </c>
      <c r="D48">
        <f t="shared" ref="D48:D65" si="16">C48-$O$17</f>
        <v>5.7785999999999997E-2</v>
      </c>
      <c r="E48">
        <f>D48+($E$2*9.81)</f>
        <v>0.15196199999999999</v>
      </c>
      <c r="F48">
        <v>7</v>
      </c>
      <c r="G48">
        <f>F48*$E$3</f>
        <v>175</v>
      </c>
      <c r="H48">
        <f>E48/G48</f>
        <v>8.6835428571428567E-4</v>
      </c>
      <c r="I48">
        <v>241051.44000000006</v>
      </c>
      <c r="J48">
        <f t="shared" ref="J48:J65" si="17">(I48*$E$4)/1000</f>
        <v>139.32773232000005</v>
      </c>
      <c r="K48">
        <f t="shared" ref="K48:K65" si="18">E48*($E$11/G48)</f>
        <v>3.6507921395712552E-2</v>
      </c>
      <c r="L48">
        <f t="shared" ref="L48:L65" si="19">SQRT((4*$E$6*K48)/(2*3.14*$E$7*J48))</f>
        <v>8.8359865680752074E-6</v>
      </c>
      <c r="M48">
        <f t="shared" ref="M48:M65" si="20">2*L48*J48</f>
        <v>2.462195942679797E-3</v>
      </c>
      <c r="N48">
        <f>(M48/$E$11)*100</f>
        <v>5.8564232565303442E-3</v>
      </c>
      <c r="P48" s="5">
        <f t="shared" ref="P48:P65" si="21">(J48/$E$12)*100</f>
        <v>2.3197728108725819</v>
      </c>
    </row>
    <row r="49" spans="1:16" x14ac:dyDescent="0.25">
      <c r="A49">
        <v>2</v>
      </c>
      <c r="C49">
        <v>0.84568500000000002</v>
      </c>
      <c r="D49">
        <f t="shared" si="16"/>
        <v>0.84568500000000002</v>
      </c>
      <c r="E49">
        <f t="shared" ref="E49:E65" si="22">D49+($E$2*9.81)</f>
        <v>0.93986100000000006</v>
      </c>
      <c r="F49">
        <v>7</v>
      </c>
      <c r="G49">
        <f t="shared" ref="G49:G65" si="23">F49*$E$3</f>
        <v>175</v>
      </c>
      <c r="H49">
        <f t="shared" ref="H49:H65" si="24">E49/G49</f>
        <v>5.3706342857142864E-3</v>
      </c>
      <c r="I49">
        <v>588406.72000000009</v>
      </c>
      <c r="J49">
        <f t="shared" si="17"/>
        <v>340.09908416000002</v>
      </c>
      <c r="K49">
        <f t="shared" si="18"/>
        <v>0.22579573518969084</v>
      </c>
      <c r="L49">
        <f t="shared" si="19"/>
        <v>1.406486001589618E-5</v>
      </c>
      <c r="M49">
        <f t="shared" si="20"/>
        <v>9.5668920204897874E-3</v>
      </c>
      <c r="N49" s="34">
        <f t="shared" ref="N49:N65" si="25">(M49/$E$11)*100</f>
        <v>2.275520317060211E-2</v>
      </c>
      <c r="P49" s="5">
        <f t="shared" si="21"/>
        <v>5.6625669226067101</v>
      </c>
    </row>
    <row r="50" spans="1:16" x14ac:dyDescent="0.25">
      <c r="A50">
        <v>4</v>
      </c>
      <c r="C50">
        <v>1.576657</v>
      </c>
      <c r="D50">
        <f t="shared" si="16"/>
        <v>1.576657</v>
      </c>
      <c r="E50">
        <f t="shared" si="22"/>
        <v>1.670833</v>
      </c>
      <c r="F50">
        <v>7</v>
      </c>
      <c r="G50">
        <f t="shared" si="23"/>
        <v>175</v>
      </c>
      <c r="H50">
        <f t="shared" si="24"/>
        <v>9.5476171428571423E-3</v>
      </c>
      <c r="I50">
        <v>798800.84000000008</v>
      </c>
      <c r="J50">
        <f t="shared" si="17"/>
        <v>461.70688552000001</v>
      </c>
      <c r="K50">
        <f t="shared" si="18"/>
        <v>0.40140719278084386</v>
      </c>
      <c r="L50">
        <f t="shared" si="19"/>
        <v>1.6094951689105044E-5</v>
      </c>
      <c r="M50">
        <f t="shared" si="20"/>
        <v>1.4862300033943107E-2</v>
      </c>
      <c r="N50" s="34">
        <f t="shared" si="25"/>
        <v>3.5350525137160249E-2</v>
      </c>
      <c r="P50" s="5">
        <f t="shared" si="21"/>
        <v>7.6873071985555406</v>
      </c>
    </row>
    <row r="51" spans="1:16" x14ac:dyDescent="0.25">
      <c r="A51">
        <v>6</v>
      </c>
      <c r="C51">
        <v>2.3675980000000001</v>
      </c>
      <c r="D51">
        <f t="shared" si="16"/>
        <v>2.3675980000000001</v>
      </c>
      <c r="E51">
        <f t="shared" si="22"/>
        <v>2.4617740000000001</v>
      </c>
      <c r="F51">
        <v>7</v>
      </c>
      <c r="G51">
        <f t="shared" si="23"/>
        <v>175</v>
      </c>
      <c r="H51">
        <f t="shared" si="24"/>
        <v>1.4067280000000001E-2</v>
      </c>
      <c r="I51">
        <v>934170.33000000007</v>
      </c>
      <c r="J51">
        <f t="shared" si="17"/>
        <v>539.95045073999995</v>
      </c>
      <c r="K51">
        <f t="shared" si="18"/>
        <v>0.59142582807549837</v>
      </c>
      <c r="L51">
        <f t="shared" si="19"/>
        <v>1.8065644807557555E-5</v>
      </c>
      <c r="M51">
        <f t="shared" si="20"/>
        <v>1.9509106113498882E-2</v>
      </c>
      <c r="N51" s="34">
        <f t="shared" si="25"/>
        <v>4.640312364127374E-2</v>
      </c>
      <c r="P51" s="5">
        <f t="shared" si="21"/>
        <v>8.990043503817553</v>
      </c>
    </row>
    <row r="52" spans="1:16" x14ac:dyDescent="0.25">
      <c r="A52">
        <v>8</v>
      </c>
      <c r="C52">
        <v>3.2003400000000002</v>
      </c>
      <c r="D52">
        <f t="shared" si="16"/>
        <v>3.2003400000000002</v>
      </c>
      <c r="E52">
        <f t="shared" si="22"/>
        <v>3.2945160000000002</v>
      </c>
      <c r="F52">
        <v>7</v>
      </c>
      <c r="G52">
        <f t="shared" si="23"/>
        <v>175</v>
      </c>
      <c r="H52">
        <f t="shared" si="24"/>
        <v>1.8825805714285715E-2</v>
      </c>
      <c r="I52">
        <v>1070195.73</v>
      </c>
      <c r="J52">
        <f t="shared" si="17"/>
        <v>618.57313193999994</v>
      </c>
      <c r="K52">
        <f t="shared" si="18"/>
        <v>0.79148689254496096</v>
      </c>
      <c r="L52">
        <f t="shared" si="19"/>
        <v>1.9525700134698654E-5</v>
      </c>
      <c r="M52">
        <f t="shared" si="20"/>
        <v>2.4156146971283651E-2</v>
      </c>
      <c r="N52" s="34">
        <f t="shared" si="25"/>
        <v>5.745628057400641E-2</v>
      </c>
      <c r="P52" s="5">
        <f t="shared" si="21"/>
        <v>10.299091997815626</v>
      </c>
    </row>
    <row r="53" spans="1:16" x14ac:dyDescent="0.25">
      <c r="A53">
        <v>10</v>
      </c>
      <c r="C53">
        <v>3.9539300000000002</v>
      </c>
      <c r="D53">
        <f t="shared" si="16"/>
        <v>3.9539300000000002</v>
      </c>
      <c r="E53">
        <f t="shared" si="22"/>
        <v>4.0481059999999998</v>
      </c>
      <c r="F53">
        <v>7</v>
      </c>
      <c r="G53">
        <f t="shared" si="23"/>
        <v>175</v>
      </c>
      <c r="H53">
        <f t="shared" si="24"/>
        <v>2.3132034285714285E-2</v>
      </c>
      <c r="I53">
        <v>1281930.4599999997</v>
      </c>
      <c r="J53">
        <f t="shared" si="17"/>
        <v>740.95580587999973</v>
      </c>
      <c r="K53">
        <f t="shared" si="18"/>
        <v>0.97253218337158209</v>
      </c>
      <c r="L53">
        <f t="shared" si="19"/>
        <v>1.9775893577253139E-5</v>
      </c>
      <c r="M53">
        <f t="shared" si="20"/>
        <v>2.9306126325061421E-2</v>
      </c>
      <c r="N53" s="34">
        <f t="shared" si="25"/>
        <v>6.9705695145492255E-2</v>
      </c>
      <c r="P53" s="5">
        <f t="shared" si="21"/>
        <v>12.336733713506876</v>
      </c>
    </row>
    <row r="54" spans="1:16" x14ac:dyDescent="0.25">
      <c r="A54">
        <v>11</v>
      </c>
      <c r="C54">
        <v>5.0559880000000001</v>
      </c>
      <c r="D54">
        <f t="shared" si="16"/>
        <v>5.0559880000000001</v>
      </c>
      <c r="E54">
        <f t="shared" si="22"/>
        <v>5.1501640000000002</v>
      </c>
      <c r="F54">
        <v>7</v>
      </c>
      <c r="G54">
        <f t="shared" si="23"/>
        <v>175</v>
      </c>
      <c r="H54">
        <f t="shared" si="24"/>
        <v>2.9429508571428571E-2</v>
      </c>
      <c r="I54">
        <v>1461236.3599999994</v>
      </c>
      <c r="J54">
        <f t="shared" si="17"/>
        <v>844.59461607999958</v>
      </c>
      <c r="K54">
        <f t="shared" si="18"/>
        <v>1.2372947347825678</v>
      </c>
      <c r="L54">
        <f t="shared" si="19"/>
        <v>2.0892610414052037E-5</v>
      </c>
      <c r="M54">
        <f t="shared" si="20"/>
        <v>3.5291572543130562E-2</v>
      </c>
      <c r="N54" s="34">
        <f t="shared" si="25"/>
        <v>8.3942298262488918E-2</v>
      </c>
      <c r="P54" s="5">
        <f t="shared" si="21"/>
        <v>14.062294662858754</v>
      </c>
    </row>
    <row r="55" spans="1:16" x14ac:dyDescent="0.25">
      <c r="A55">
        <v>12</v>
      </c>
      <c r="C55">
        <v>5.9880820000000003</v>
      </c>
      <c r="D55">
        <f t="shared" si="16"/>
        <v>5.9880820000000003</v>
      </c>
      <c r="E55">
        <f t="shared" si="22"/>
        <v>6.0822580000000004</v>
      </c>
      <c r="F55">
        <v>7</v>
      </c>
      <c r="G55">
        <f t="shared" si="23"/>
        <v>175</v>
      </c>
      <c r="H55">
        <f t="shared" si="24"/>
        <v>3.4755760000000004E-2</v>
      </c>
      <c r="I55">
        <v>1545622.0899999999</v>
      </c>
      <c r="J55">
        <f t="shared" si="17"/>
        <v>893.36956801999986</v>
      </c>
      <c r="K55">
        <f t="shared" si="18"/>
        <v>1.4612244967323664</v>
      </c>
      <c r="L55">
        <f t="shared" si="19"/>
        <v>2.2076141693571796E-5</v>
      </c>
      <c r="M55">
        <f t="shared" si="20"/>
        <v>3.9444306336669087E-2</v>
      </c>
      <c r="N55" s="34">
        <f t="shared" si="25"/>
        <v>9.3819727733105693E-2</v>
      </c>
      <c r="P55" s="5">
        <f t="shared" si="21"/>
        <v>14.874385733875114</v>
      </c>
    </row>
    <row r="56" spans="1:16" x14ac:dyDescent="0.25">
      <c r="A56">
        <v>13</v>
      </c>
      <c r="C56">
        <v>7.9443250000000001</v>
      </c>
      <c r="D56">
        <f t="shared" si="16"/>
        <v>7.9443250000000001</v>
      </c>
      <c r="E56">
        <f t="shared" si="22"/>
        <v>8.0385010000000001</v>
      </c>
      <c r="F56">
        <v>7</v>
      </c>
      <c r="G56">
        <f t="shared" si="23"/>
        <v>175</v>
      </c>
      <c r="H56">
        <f t="shared" si="24"/>
        <v>4.593429142857143E-2</v>
      </c>
      <c r="I56">
        <v>1862606.8399999994</v>
      </c>
      <c r="J56">
        <f t="shared" si="17"/>
        <v>1076.5867535199995</v>
      </c>
      <c r="K56">
        <f t="shared" si="18"/>
        <v>1.9311996594369432</v>
      </c>
      <c r="L56">
        <f t="shared" si="19"/>
        <v>2.311901624154308E-5</v>
      </c>
      <c r="M56">
        <f t="shared" si="20"/>
        <v>4.9779253280118015E-2</v>
      </c>
      <c r="N56" s="34">
        <f t="shared" si="25"/>
        <v>0.1184017776770052</v>
      </c>
      <c r="P56" s="5">
        <f t="shared" si="21"/>
        <v>17.92490725123772</v>
      </c>
    </row>
    <row r="57" spans="1:16" x14ac:dyDescent="0.25">
      <c r="A57">
        <v>14</v>
      </c>
      <c r="C57">
        <v>11.959809999999999</v>
      </c>
      <c r="D57">
        <f t="shared" si="16"/>
        <v>11.959809999999999</v>
      </c>
      <c r="E57">
        <f t="shared" si="22"/>
        <v>12.053985999999998</v>
      </c>
      <c r="F57">
        <v>7</v>
      </c>
      <c r="G57">
        <f t="shared" si="23"/>
        <v>175</v>
      </c>
      <c r="H57">
        <f t="shared" si="24"/>
        <v>6.8879919999999997E-2</v>
      </c>
      <c r="I57">
        <v>2230856.7299999991</v>
      </c>
      <c r="J57">
        <f t="shared" si="17"/>
        <v>1289.4351899399992</v>
      </c>
      <c r="K57">
        <f t="shared" si="18"/>
        <v>2.8958948512984795</v>
      </c>
      <c r="L57">
        <f t="shared" si="19"/>
        <v>2.5868539700711588E-5</v>
      </c>
      <c r="M57">
        <f t="shared" si="20"/>
        <v>6.6711610804914917E-2</v>
      </c>
      <c r="N57" s="34">
        <f t="shared" si="25"/>
        <v>0.15867601039634777</v>
      </c>
      <c r="P57" s="5">
        <f t="shared" si="21"/>
        <v>21.468781879942771</v>
      </c>
    </row>
    <row r="58" spans="1:16" x14ac:dyDescent="0.25">
      <c r="A58">
        <v>15</v>
      </c>
      <c r="C58">
        <v>15.92273</v>
      </c>
      <c r="D58">
        <f t="shared" si="16"/>
        <v>15.92273</v>
      </c>
      <c r="E58">
        <f t="shared" si="22"/>
        <v>16.016905999999999</v>
      </c>
      <c r="F58">
        <v>7</v>
      </c>
      <c r="G58">
        <f t="shared" si="23"/>
        <v>175</v>
      </c>
      <c r="H58">
        <f t="shared" si="24"/>
        <v>9.1525177142857142E-2</v>
      </c>
      <c r="I58">
        <v>2637154.3699999987</v>
      </c>
      <c r="J58">
        <f t="shared" si="17"/>
        <v>1524.2752258599992</v>
      </c>
      <c r="K58">
        <f t="shared" si="18"/>
        <v>3.8479616302135846</v>
      </c>
      <c r="L58">
        <f t="shared" si="19"/>
        <v>2.7426093283274959E-5</v>
      </c>
      <c r="M58">
        <f t="shared" si="20"/>
        <v>8.3609829067642694E-2</v>
      </c>
      <c r="N58" s="34">
        <f t="shared" si="25"/>
        <v>0.19886904163010713</v>
      </c>
      <c r="P58" s="5">
        <f t="shared" si="21"/>
        <v>25.378811284428782</v>
      </c>
    </row>
    <row r="59" spans="1:16" x14ac:dyDescent="0.25">
      <c r="A59">
        <v>16</v>
      </c>
      <c r="C59">
        <v>19.988099999999999</v>
      </c>
      <c r="D59">
        <f t="shared" si="16"/>
        <v>19.988099999999999</v>
      </c>
      <c r="E59">
        <f t="shared" si="22"/>
        <v>20.082276</v>
      </c>
      <c r="F59">
        <v>7</v>
      </c>
      <c r="G59">
        <f t="shared" si="23"/>
        <v>175</v>
      </c>
      <c r="H59">
        <f t="shared" si="24"/>
        <v>0.11475586285714286</v>
      </c>
      <c r="I59">
        <v>2731566.9699999988</v>
      </c>
      <c r="J59">
        <f t="shared" si="17"/>
        <v>1578.8457086599992</v>
      </c>
      <c r="K59">
        <f t="shared" si="18"/>
        <v>4.8246413817599452</v>
      </c>
      <c r="L59">
        <f t="shared" si="19"/>
        <v>3.0174699319347096E-5</v>
      </c>
      <c r="M59">
        <f t="shared" si="20"/>
        <v>9.5282389060913922E-2</v>
      </c>
      <c r="N59" s="34">
        <f t="shared" si="25"/>
        <v>0.2266326532188089</v>
      </c>
      <c r="P59" s="5">
        <f t="shared" si="21"/>
        <v>26.28739653280477</v>
      </c>
    </row>
    <row r="60" spans="1:16" x14ac:dyDescent="0.25">
      <c r="A60">
        <v>17</v>
      </c>
      <c r="C60">
        <v>23.847650000000002</v>
      </c>
      <c r="D60">
        <f t="shared" si="16"/>
        <v>23.847650000000002</v>
      </c>
      <c r="E60">
        <f t="shared" si="22"/>
        <v>23.941826000000002</v>
      </c>
      <c r="F60">
        <v>7</v>
      </c>
      <c r="G60">
        <f t="shared" si="23"/>
        <v>175</v>
      </c>
      <c r="H60">
        <f t="shared" si="24"/>
        <v>0.13681043428571429</v>
      </c>
      <c r="I60">
        <v>2915052.4999999986</v>
      </c>
      <c r="J60">
        <f t="shared" si="17"/>
        <v>1684.9003449999991</v>
      </c>
      <c r="K60">
        <f t="shared" si="18"/>
        <v>5.751874163789811</v>
      </c>
      <c r="L60">
        <f t="shared" si="19"/>
        <v>3.1893182385525825E-5</v>
      </c>
      <c r="M60">
        <f t="shared" si="20"/>
        <v>0.10747366800904072</v>
      </c>
      <c r="N60" s="34">
        <f t="shared" si="25"/>
        <v>0.2556300568458133</v>
      </c>
      <c r="P60" s="5">
        <f t="shared" si="21"/>
        <v>28.053180399030769</v>
      </c>
    </row>
    <row r="61" spans="1:16" x14ac:dyDescent="0.25">
      <c r="A61">
        <v>18</v>
      </c>
      <c r="C61">
        <v>27.74944</v>
      </c>
      <c r="D61">
        <f t="shared" si="16"/>
        <v>27.74944</v>
      </c>
      <c r="E61">
        <f t="shared" si="22"/>
        <v>27.843616000000001</v>
      </c>
      <c r="F61">
        <v>7</v>
      </c>
      <c r="G61">
        <f t="shared" si="23"/>
        <v>175</v>
      </c>
      <c r="H61">
        <f t="shared" si="24"/>
        <v>0.15910637714285714</v>
      </c>
      <c r="I61">
        <v>3048207.5899999989</v>
      </c>
      <c r="J61">
        <f t="shared" si="17"/>
        <v>1761.8639870199993</v>
      </c>
      <c r="K61">
        <f t="shared" si="18"/>
        <v>6.6892548420026348</v>
      </c>
      <c r="L61">
        <f t="shared" si="19"/>
        <v>3.3634343831636011E-5</v>
      </c>
      <c r="M61">
        <f t="shared" si="20"/>
        <v>0.11851827824801549</v>
      </c>
      <c r="N61" s="34">
        <f t="shared" si="25"/>
        <v>0.28190006693788039</v>
      </c>
      <c r="P61" s="5">
        <f t="shared" si="21"/>
        <v>29.334606294728765</v>
      </c>
    </row>
    <row r="62" spans="1:16" x14ac:dyDescent="0.25">
      <c r="A62">
        <v>19</v>
      </c>
      <c r="C62">
        <v>31.78903</v>
      </c>
      <c r="D62">
        <f t="shared" si="16"/>
        <v>31.78903</v>
      </c>
      <c r="E62">
        <f t="shared" si="22"/>
        <v>31.883206000000001</v>
      </c>
      <c r="F62">
        <v>7</v>
      </c>
      <c r="G62">
        <f t="shared" si="23"/>
        <v>175</v>
      </c>
      <c r="H62">
        <f t="shared" si="24"/>
        <v>0.18218974857142858</v>
      </c>
      <c r="I62">
        <v>3052830.3399999989</v>
      </c>
      <c r="J62">
        <f t="shared" si="17"/>
        <v>1764.5359365199993</v>
      </c>
      <c r="K62">
        <f t="shared" si="18"/>
        <v>7.6597411095623311</v>
      </c>
      <c r="L62">
        <f t="shared" si="19"/>
        <v>3.5964337929152573E-5</v>
      </c>
      <c r="M62">
        <f t="shared" si="20"/>
        <v>0.12692073341827792</v>
      </c>
      <c r="N62" s="34">
        <f t="shared" si="25"/>
        <v>0.30188561439903061</v>
      </c>
      <c r="P62" s="5">
        <f t="shared" si="21"/>
        <v>29.37909360316991</v>
      </c>
    </row>
    <row r="63" spans="1:16" x14ac:dyDescent="0.25">
      <c r="A63">
        <v>20</v>
      </c>
      <c r="C63">
        <v>35.694020000000002</v>
      </c>
      <c r="D63">
        <f t="shared" si="16"/>
        <v>35.694020000000002</v>
      </c>
      <c r="E63">
        <f t="shared" si="22"/>
        <v>35.788195999999999</v>
      </c>
      <c r="F63">
        <v>7</v>
      </c>
      <c r="G63">
        <f t="shared" si="23"/>
        <v>175</v>
      </c>
      <c r="H63">
        <f t="shared" si="24"/>
        <v>0.20450397714285715</v>
      </c>
      <c r="I63">
        <v>3245231.9699999993</v>
      </c>
      <c r="J63">
        <f t="shared" si="17"/>
        <v>1875.7440786599993</v>
      </c>
      <c r="K63">
        <f t="shared" si="18"/>
        <v>8.5978905677890154</v>
      </c>
      <c r="L63">
        <f t="shared" si="19"/>
        <v>3.6956381567755721E-5</v>
      </c>
      <c r="M63">
        <f t="shared" si="20"/>
        <v>0.13864142778883468</v>
      </c>
      <c r="N63" s="34">
        <f t="shared" si="25"/>
        <v>0.32976371536759336</v>
      </c>
      <c r="P63" s="5">
        <f t="shared" si="21"/>
        <v>31.230682085867073</v>
      </c>
    </row>
    <row r="64" spans="1:16" x14ac:dyDescent="0.25">
      <c r="A64">
        <v>21</v>
      </c>
      <c r="C64">
        <v>39.757910000000003</v>
      </c>
      <c r="D64">
        <f t="shared" si="16"/>
        <v>39.757910000000003</v>
      </c>
      <c r="E64">
        <f t="shared" si="22"/>
        <v>39.852086</v>
      </c>
      <c r="F64">
        <v>7</v>
      </c>
      <c r="G64">
        <f t="shared" si="23"/>
        <v>175</v>
      </c>
      <c r="H64">
        <f t="shared" si="24"/>
        <v>0.2277262057142857</v>
      </c>
      <c r="I64">
        <v>3436122.9699999988</v>
      </c>
      <c r="J64">
        <f t="shared" si="17"/>
        <v>1986.0790766599991</v>
      </c>
      <c r="K64">
        <f t="shared" si="18"/>
        <v>9.5742147585789663</v>
      </c>
      <c r="L64">
        <f t="shared" si="19"/>
        <v>3.7899509761865875E-5</v>
      </c>
      <c r="M64">
        <f t="shared" si="20"/>
        <v>0.1505428467074264</v>
      </c>
      <c r="N64" s="34">
        <f t="shared" si="25"/>
        <v>0.35807167629481801</v>
      </c>
      <c r="P64" s="5">
        <f t="shared" si="21"/>
        <v>33.067732931281135</v>
      </c>
    </row>
    <row r="65" spans="1:16" x14ac:dyDescent="0.25">
      <c r="A65">
        <v>22</v>
      </c>
      <c r="C65">
        <v>45.843380000000003</v>
      </c>
      <c r="D65">
        <f t="shared" si="16"/>
        <v>45.843380000000003</v>
      </c>
      <c r="E65">
        <f t="shared" si="22"/>
        <v>45.937556000000001</v>
      </c>
      <c r="F65">
        <v>7</v>
      </c>
      <c r="G65">
        <f t="shared" si="23"/>
        <v>175</v>
      </c>
      <c r="H65">
        <f t="shared" si="24"/>
        <v>0.26250032000000001</v>
      </c>
      <c r="I65">
        <v>3367023.2199999988</v>
      </c>
      <c r="J65">
        <f t="shared" si="17"/>
        <v>1946.1394211599993</v>
      </c>
      <c r="K65">
        <f t="shared" si="18"/>
        <v>11.036210918250244</v>
      </c>
      <c r="L65">
        <f t="shared" si="19"/>
        <v>4.1105818372883349E-5</v>
      </c>
      <c r="M65">
        <f t="shared" si="20"/>
        <v>0.15999530714902252</v>
      </c>
      <c r="N65" s="34">
        <f t="shared" si="25"/>
        <v>0.38055469976261996</v>
      </c>
      <c r="P65" s="5">
        <f t="shared" si="21"/>
        <v>32.402747394218622</v>
      </c>
    </row>
    <row r="66" spans="1:16" x14ac:dyDescent="0.25">
      <c r="P66" s="5"/>
    </row>
    <row r="67" spans="1:16" x14ac:dyDescent="0.25">
      <c r="J67" s="4"/>
      <c r="P67" s="5"/>
    </row>
    <row r="68" spans="1:16" x14ac:dyDescent="0.25">
      <c r="A68" s="1" t="s">
        <v>37</v>
      </c>
      <c r="B68" s="1"/>
      <c r="I68" s="2"/>
      <c r="P68" s="5"/>
    </row>
    <row r="69" spans="1:16" ht="18.75" x14ac:dyDescent="0.35">
      <c r="A69" s="1" t="s">
        <v>0</v>
      </c>
      <c r="B69" s="1"/>
      <c r="C69" s="1" t="s">
        <v>1</v>
      </c>
      <c r="D69" s="1" t="s">
        <v>2</v>
      </c>
      <c r="E69" s="1" t="s">
        <v>3</v>
      </c>
      <c r="F69" s="1" t="s">
        <v>5</v>
      </c>
      <c r="G69" s="1" t="s">
        <v>6</v>
      </c>
      <c r="H69" s="1" t="s">
        <v>7</v>
      </c>
      <c r="I69" s="1" t="s">
        <v>4</v>
      </c>
      <c r="J69" s="1" t="s">
        <v>21</v>
      </c>
      <c r="K69" s="1" t="s">
        <v>16</v>
      </c>
      <c r="L69" s="1" t="s">
        <v>17</v>
      </c>
      <c r="M69" s="1" t="s">
        <v>18</v>
      </c>
      <c r="N69" s="1" t="s">
        <v>19</v>
      </c>
      <c r="O69" s="21"/>
      <c r="P69" s="1" t="s">
        <v>23</v>
      </c>
    </row>
    <row r="70" spans="1:16" x14ac:dyDescent="0.25">
      <c r="A70">
        <v>0</v>
      </c>
      <c r="C70">
        <v>9.3923999999999994E-2</v>
      </c>
      <c r="D70">
        <f t="shared" ref="D70:D87" si="26">C70-$T$17</f>
        <v>9.3923999999999994E-2</v>
      </c>
      <c r="E70">
        <f>D70+($E$2*9.81)</f>
        <v>0.18809999999999999</v>
      </c>
      <c r="F70">
        <v>7</v>
      </c>
      <c r="G70">
        <f>F70*$E$3</f>
        <v>175</v>
      </c>
      <c r="H70">
        <f>E70/G70</f>
        <v>1.0748571428571428E-3</v>
      </c>
      <c r="I70">
        <v>328978.52</v>
      </c>
      <c r="J70">
        <f t="shared" ref="J70:J87" si="27">(I70*$E$4)/1000</f>
        <v>190.14958455999999</v>
      </c>
      <c r="K70">
        <f t="shared" ref="K70:K87" si="28">E70*($E$11/G70)</f>
        <v>4.5189850189741719E-2</v>
      </c>
      <c r="L70">
        <f t="shared" ref="L70:L87" si="29">SQRT((4*$E$6*K70)/(2*3.14*$E$7*J70))</f>
        <v>8.4149790344283851E-6</v>
      </c>
      <c r="M70">
        <f t="shared" ref="M70:M87" si="30">2*L70*J70</f>
        <v>3.2002095349553347E-3</v>
      </c>
      <c r="N70">
        <f>(M70/$E$11)*100</f>
        <v>7.6118156241799587E-3</v>
      </c>
      <c r="P70" s="5">
        <f t="shared" ref="P70:P87" si="31">(J70/$E$12)*100</f>
        <v>3.1659442733762622</v>
      </c>
    </row>
    <row r="71" spans="1:16" x14ac:dyDescent="0.25">
      <c r="A71">
        <v>2</v>
      </c>
      <c r="C71">
        <v>0.79421900000000001</v>
      </c>
      <c r="D71">
        <f t="shared" si="26"/>
        <v>0.79421900000000001</v>
      </c>
      <c r="E71">
        <f t="shared" ref="E71:E87" si="32">D71+($E$2*9.81)</f>
        <v>0.88839500000000005</v>
      </c>
      <c r="F71">
        <v>7</v>
      </c>
      <c r="G71">
        <f t="shared" ref="G71:G87" si="33">F71*$E$3</f>
        <v>175</v>
      </c>
      <c r="H71">
        <f t="shared" ref="H71:H87" si="34">E71/G71</f>
        <v>5.0765428571428574E-3</v>
      </c>
      <c r="I71">
        <v>513530.9</v>
      </c>
      <c r="J71">
        <f t="shared" si="27"/>
        <v>296.82086019999997</v>
      </c>
      <c r="K71" s="5">
        <f t="shared" si="28"/>
        <v>0.21343135012926953</v>
      </c>
      <c r="L71" s="5">
        <f t="shared" si="29"/>
        <v>1.4637340446141509E-5</v>
      </c>
      <c r="M71" s="5">
        <f t="shared" si="30"/>
        <v>8.6893359645279483E-3</v>
      </c>
      <c r="N71" s="34">
        <f t="shared" ref="N71:N87" si="35">(M71/$E$11)*100</f>
        <v>2.0667903940691745E-2</v>
      </c>
      <c r="P71" s="5">
        <f t="shared" si="31"/>
        <v>4.94199503376925</v>
      </c>
    </row>
    <row r="72" spans="1:16" x14ac:dyDescent="0.25">
      <c r="A72">
        <v>4</v>
      </c>
      <c r="C72">
        <v>1.5761719999999999</v>
      </c>
      <c r="D72">
        <f t="shared" si="26"/>
        <v>1.5761719999999999</v>
      </c>
      <c r="E72">
        <f t="shared" si="32"/>
        <v>1.6703479999999999</v>
      </c>
      <c r="F72">
        <v>7</v>
      </c>
      <c r="G72">
        <f t="shared" si="33"/>
        <v>175</v>
      </c>
      <c r="H72">
        <f t="shared" si="34"/>
        <v>9.5448457142857136E-3</v>
      </c>
      <c r="I72">
        <v>696113.14</v>
      </c>
      <c r="J72">
        <f t="shared" si="27"/>
        <v>402.35339491999997</v>
      </c>
      <c r="K72" s="5">
        <f t="shared" si="28"/>
        <v>0.40129067455999312</v>
      </c>
      <c r="L72" s="5">
        <f t="shared" si="29"/>
        <v>1.7238758142517651E-5</v>
      </c>
      <c r="M72" s="5">
        <f t="shared" si="30"/>
        <v>1.3872145725693539E-2</v>
      </c>
      <c r="N72" s="34">
        <f t="shared" si="35"/>
        <v>3.2995406838949082E-2</v>
      </c>
      <c r="P72" s="5">
        <f t="shared" si="31"/>
        <v>6.6990860351763031</v>
      </c>
    </row>
    <row r="73" spans="1:16" x14ac:dyDescent="0.25">
      <c r="A73">
        <v>6</v>
      </c>
      <c r="C73">
        <v>2.3858389999999998</v>
      </c>
      <c r="D73">
        <f t="shared" si="26"/>
        <v>2.3858389999999998</v>
      </c>
      <c r="E73">
        <f t="shared" si="32"/>
        <v>2.4800149999999999</v>
      </c>
      <c r="F73">
        <v>7</v>
      </c>
      <c r="G73">
        <f t="shared" si="33"/>
        <v>175</v>
      </c>
      <c r="H73">
        <f t="shared" si="34"/>
        <v>1.4171514285714285E-2</v>
      </c>
      <c r="I73">
        <v>851332.14</v>
      </c>
      <c r="J73">
        <f t="shared" si="27"/>
        <v>492.06997691999999</v>
      </c>
      <c r="K73" s="5">
        <f t="shared" si="28"/>
        <v>0.59580811439825787</v>
      </c>
      <c r="L73" s="5">
        <f t="shared" si="29"/>
        <v>1.8994158198204162E-5</v>
      </c>
      <c r="M73" s="5">
        <f t="shared" si="30"/>
        <v>1.8692909972410302E-2</v>
      </c>
      <c r="N73" s="34">
        <f t="shared" si="35"/>
        <v>4.4461771216917516E-2</v>
      </c>
      <c r="P73" s="5">
        <f t="shared" si="31"/>
        <v>8.1928452756555608</v>
      </c>
    </row>
    <row r="74" spans="1:16" x14ac:dyDescent="0.25">
      <c r="A74">
        <v>8</v>
      </c>
      <c r="C74">
        <v>3.168812</v>
      </c>
      <c r="D74">
        <f t="shared" si="26"/>
        <v>3.168812</v>
      </c>
      <c r="E74">
        <f t="shared" si="32"/>
        <v>3.262988</v>
      </c>
      <c r="F74">
        <v>7</v>
      </c>
      <c r="G74">
        <f t="shared" si="33"/>
        <v>175</v>
      </c>
      <c r="H74">
        <f t="shared" si="34"/>
        <v>1.8645645714285713E-2</v>
      </c>
      <c r="I74">
        <v>1012725.04</v>
      </c>
      <c r="J74">
        <f t="shared" si="27"/>
        <v>585.35507311999993</v>
      </c>
      <c r="K74" s="5">
        <f t="shared" si="28"/>
        <v>0.78391248745839959</v>
      </c>
      <c r="L74" s="5">
        <f t="shared" si="29"/>
        <v>1.9975808960132823E-5</v>
      </c>
      <c r="M74" s="5">
        <f t="shared" si="30"/>
        <v>2.3385882228979398E-2</v>
      </c>
      <c r="N74" s="34">
        <f t="shared" si="35"/>
        <v>5.5624177664436052E-2</v>
      </c>
      <c r="P74" s="5">
        <f t="shared" si="31"/>
        <v>9.7460194084791478</v>
      </c>
    </row>
    <row r="75" spans="1:16" x14ac:dyDescent="0.25">
      <c r="A75">
        <v>10</v>
      </c>
      <c r="C75">
        <v>3.9348920000000001</v>
      </c>
      <c r="D75">
        <f t="shared" si="26"/>
        <v>3.9348920000000001</v>
      </c>
      <c r="E75">
        <f t="shared" si="32"/>
        <v>4.0290679999999996</v>
      </c>
      <c r="F75">
        <v>7</v>
      </c>
      <c r="G75">
        <f t="shared" si="33"/>
        <v>175</v>
      </c>
      <c r="H75">
        <f t="shared" si="34"/>
        <v>2.3023245714285712E-2</v>
      </c>
      <c r="I75">
        <v>1132280.6399999999</v>
      </c>
      <c r="J75">
        <f t="shared" si="27"/>
        <v>654.45820991999994</v>
      </c>
      <c r="K75" s="5">
        <f t="shared" si="28"/>
        <v>0.96795842277662036</v>
      </c>
      <c r="L75" s="5">
        <f t="shared" si="29"/>
        <v>2.0992669549246587E-5</v>
      </c>
      <c r="M75" s="5">
        <f t="shared" si="30"/>
        <v>2.7477649869284027E-2</v>
      </c>
      <c r="N75" s="34">
        <f t="shared" si="35"/>
        <v>6.5356596905984068E-2</v>
      </c>
      <c r="P75" s="5">
        <f t="shared" si="31"/>
        <v>10.896569806632996</v>
      </c>
    </row>
    <row r="76" spans="1:16" x14ac:dyDescent="0.25">
      <c r="A76">
        <v>11</v>
      </c>
      <c r="C76">
        <v>5.1209020000000001</v>
      </c>
      <c r="D76">
        <f t="shared" si="26"/>
        <v>5.1209020000000001</v>
      </c>
      <c r="E76">
        <f t="shared" si="32"/>
        <v>5.2150780000000001</v>
      </c>
      <c r="F76">
        <v>7</v>
      </c>
      <c r="G76">
        <f t="shared" si="33"/>
        <v>175</v>
      </c>
      <c r="H76">
        <f t="shared" si="34"/>
        <v>2.9800445714285716E-2</v>
      </c>
      <c r="I76" s="5">
        <v>1312219.1599999999</v>
      </c>
      <c r="J76" s="5">
        <f t="shared" si="27"/>
        <v>758.46267447999992</v>
      </c>
      <c r="K76" s="5">
        <f t="shared" si="28"/>
        <v>1.252889917851238</v>
      </c>
      <c r="L76" s="5">
        <f t="shared" si="29"/>
        <v>2.2185520823695967E-5</v>
      </c>
      <c r="M76" s="5">
        <f t="shared" si="30"/>
        <v>3.3653778917344349E-2</v>
      </c>
      <c r="N76" s="34">
        <f t="shared" si="35"/>
        <v>8.0046746120114629E-2</v>
      </c>
      <c r="P76" s="5">
        <f t="shared" si="31"/>
        <v>12.628218812026418</v>
      </c>
    </row>
    <row r="77" spans="1:16" x14ac:dyDescent="0.25">
      <c r="A77">
        <v>12</v>
      </c>
      <c r="C77">
        <v>5.9641000000000002</v>
      </c>
      <c r="D77">
        <f t="shared" si="26"/>
        <v>5.9641000000000002</v>
      </c>
      <c r="E77">
        <f t="shared" si="32"/>
        <v>6.0582760000000002</v>
      </c>
      <c r="F77">
        <v>7</v>
      </c>
      <c r="G77">
        <f t="shared" si="33"/>
        <v>175</v>
      </c>
      <c r="H77">
        <f t="shared" si="34"/>
        <v>3.4618719999999999E-2</v>
      </c>
      <c r="I77">
        <v>1385775.5599999998</v>
      </c>
      <c r="J77" s="5">
        <f t="shared" si="27"/>
        <v>800.97827367999992</v>
      </c>
      <c r="K77" s="5">
        <f t="shared" si="28"/>
        <v>1.4554629710159901</v>
      </c>
      <c r="L77" s="5">
        <f t="shared" si="29"/>
        <v>2.3268612665854991E-5</v>
      </c>
      <c r="M77" s="5">
        <f t="shared" si="30"/>
        <v>3.727530640805022E-2</v>
      </c>
      <c r="N77" s="34">
        <f t="shared" si="35"/>
        <v>8.8660681937769451E-2</v>
      </c>
      <c r="P77" s="5">
        <f t="shared" si="31"/>
        <v>13.336093184341587</v>
      </c>
    </row>
    <row r="78" spans="1:16" x14ac:dyDescent="0.25">
      <c r="A78">
        <v>13</v>
      </c>
      <c r="C78">
        <v>7.9075470000000001</v>
      </c>
      <c r="D78">
        <f t="shared" si="26"/>
        <v>7.9075470000000001</v>
      </c>
      <c r="E78">
        <f t="shared" si="32"/>
        <v>8.0017230000000001</v>
      </c>
      <c r="F78">
        <v>7</v>
      </c>
      <c r="G78">
        <f t="shared" si="33"/>
        <v>175</v>
      </c>
      <c r="H78">
        <f t="shared" si="34"/>
        <v>4.572413142857143E-2</v>
      </c>
      <c r="I78">
        <v>1648960.6899999995</v>
      </c>
      <c r="J78" s="5">
        <f t="shared" si="27"/>
        <v>953.09927881999965</v>
      </c>
      <c r="K78" s="5">
        <f t="shared" si="28"/>
        <v>1.922363974640142</v>
      </c>
      <c r="L78" s="5">
        <f t="shared" si="29"/>
        <v>2.4514837400244049E-5</v>
      </c>
      <c r="M78" s="5">
        <f t="shared" si="30"/>
        <v>4.6730147693124315E-2</v>
      </c>
      <c r="N78" s="34">
        <f t="shared" si="35"/>
        <v>0.11114936832901012</v>
      </c>
      <c r="P78" s="5">
        <f t="shared" si="31"/>
        <v>15.868870871958658</v>
      </c>
    </row>
    <row r="79" spans="1:16" x14ac:dyDescent="0.25">
      <c r="A79">
        <v>14</v>
      </c>
      <c r="C79">
        <v>12.01498</v>
      </c>
      <c r="D79">
        <f t="shared" si="26"/>
        <v>12.01498</v>
      </c>
      <c r="E79">
        <f t="shared" si="32"/>
        <v>12.109155999999999</v>
      </c>
      <c r="F79">
        <v>7</v>
      </c>
      <c r="G79">
        <f t="shared" si="33"/>
        <v>175</v>
      </c>
      <c r="H79">
        <f t="shared" si="34"/>
        <v>6.9195177142857139E-2</v>
      </c>
      <c r="I79">
        <v>1933528.439999999</v>
      </c>
      <c r="J79" s="5">
        <f t="shared" si="27"/>
        <v>1117.5794383199993</v>
      </c>
      <c r="K79" s="5">
        <f t="shared" si="28"/>
        <v>2.9091490992249445</v>
      </c>
      <c r="L79" s="5">
        <f t="shared" si="29"/>
        <v>2.7849927351089037E-5</v>
      </c>
      <c r="M79" s="5">
        <f t="shared" si="30"/>
        <v>6.2249012332565745E-2</v>
      </c>
      <c r="N79" s="34">
        <f t="shared" si="35"/>
        <v>0.14806155643474389</v>
      </c>
      <c r="P79" s="5">
        <f t="shared" si="31"/>
        <v>18.607425469687609</v>
      </c>
    </row>
    <row r="80" spans="1:16" x14ac:dyDescent="0.25">
      <c r="A80">
        <v>15</v>
      </c>
      <c r="C80">
        <v>15.87839</v>
      </c>
      <c r="D80">
        <f t="shared" si="26"/>
        <v>15.87839</v>
      </c>
      <c r="E80">
        <f t="shared" si="32"/>
        <v>15.972565999999999</v>
      </c>
      <c r="F80">
        <v>7</v>
      </c>
      <c r="G80">
        <f t="shared" si="33"/>
        <v>175</v>
      </c>
      <c r="H80">
        <f t="shared" si="34"/>
        <v>9.1271805714285711E-2</v>
      </c>
      <c r="I80">
        <v>2201372.7899999991</v>
      </c>
      <c r="J80" s="5">
        <f t="shared" si="27"/>
        <v>1272.3934726199993</v>
      </c>
      <c r="K80" s="5">
        <f t="shared" si="28"/>
        <v>3.837309222146529</v>
      </c>
      <c r="L80" s="5">
        <f t="shared" si="29"/>
        <v>2.9976640554070227E-5</v>
      </c>
      <c r="M80" s="5">
        <f t="shared" si="30"/>
        <v>7.6284163544149838E-2</v>
      </c>
      <c r="N80" s="34">
        <f t="shared" si="35"/>
        <v>0.18144467779387552</v>
      </c>
      <c r="P80" s="5">
        <f t="shared" si="31"/>
        <v>21.185041436951025</v>
      </c>
    </row>
    <row r="81" spans="1:16" x14ac:dyDescent="0.25">
      <c r="A81">
        <v>16</v>
      </c>
      <c r="C81">
        <v>19.871700000000001</v>
      </c>
      <c r="D81">
        <f t="shared" si="26"/>
        <v>19.871700000000001</v>
      </c>
      <c r="E81">
        <f t="shared" si="32"/>
        <v>19.965876000000002</v>
      </c>
      <c r="F81">
        <v>7</v>
      </c>
      <c r="G81">
        <f t="shared" si="33"/>
        <v>175</v>
      </c>
      <c r="H81">
        <f t="shared" si="34"/>
        <v>0.11409072000000001</v>
      </c>
      <c r="I81">
        <v>2291916.5699999989</v>
      </c>
      <c r="J81" s="5">
        <f t="shared" si="27"/>
        <v>1324.7277774599993</v>
      </c>
      <c r="K81" s="5">
        <f t="shared" si="28"/>
        <v>4.7966770087557666</v>
      </c>
      <c r="L81" s="5">
        <f t="shared" si="29"/>
        <v>3.2846355901273544E-5</v>
      </c>
      <c r="M81" s="5">
        <f t="shared" si="30"/>
        <v>8.7024960101508467E-2</v>
      </c>
      <c r="N81" s="34">
        <f t="shared" si="35"/>
        <v>0.20699205591347161</v>
      </c>
      <c r="P81" s="5">
        <f t="shared" si="31"/>
        <v>22.056394866897879</v>
      </c>
    </row>
    <row r="82" spans="1:16" x14ac:dyDescent="0.25">
      <c r="A82">
        <v>17</v>
      </c>
      <c r="C82">
        <v>24.050889999999999</v>
      </c>
      <c r="D82">
        <f t="shared" si="26"/>
        <v>24.050889999999999</v>
      </c>
      <c r="E82">
        <f t="shared" si="32"/>
        <v>24.145066</v>
      </c>
      <c r="F82">
        <v>7</v>
      </c>
      <c r="G82">
        <f t="shared" si="33"/>
        <v>175</v>
      </c>
      <c r="H82">
        <f t="shared" si="34"/>
        <v>0.13797180571428572</v>
      </c>
      <c r="I82">
        <v>2448223.6999999993</v>
      </c>
      <c r="J82" s="5">
        <f t="shared" si="27"/>
        <v>1415.0732985999994</v>
      </c>
      <c r="K82" s="5">
        <f t="shared" si="28"/>
        <v>5.8007013044201301</v>
      </c>
      <c r="L82" s="5">
        <f t="shared" si="29"/>
        <v>3.4948702858335123E-5</v>
      </c>
      <c r="M82" s="5">
        <f t="shared" si="30"/>
        <v>9.8909952471071011E-2</v>
      </c>
      <c r="N82" s="34">
        <f t="shared" si="35"/>
        <v>0.23526094569201494</v>
      </c>
      <c r="P82" s="5">
        <f t="shared" si="31"/>
        <v>23.560625790884586</v>
      </c>
    </row>
    <row r="83" spans="1:16" x14ac:dyDescent="0.25">
      <c r="A83">
        <v>18</v>
      </c>
      <c r="C83">
        <v>27.616209999999999</v>
      </c>
      <c r="D83">
        <f t="shared" si="26"/>
        <v>27.616209999999999</v>
      </c>
      <c r="E83">
        <f t="shared" si="32"/>
        <v>27.710386</v>
      </c>
      <c r="F83">
        <v>7</v>
      </c>
      <c r="G83">
        <f t="shared" si="33"/>
        <v>175</v>
      </c>
      <c r="H83">
        <f t="shared" si="34"/>
        <v>0.15834506285714287</v>
      </c>
      <c r="I83">
        <v>2581325.9499999993</v>
      </c>
      <c r="J83" s="5">
        <f t="shared" si="27"/>
        <v>1492.0063990999995</v>
      </c>
      <c r="K83" s="5">
        <f t="shared" si="28"/>
        <v>6.6572471666130584</v>
      </c>
      <c r="L83" s="5">
        <f t="shared" si="29"/>
        <v>3.6462150204226489E-5</v>
      </c>
      <c r="M83" s="5">
        <f t="shared" si="30"/>
        <v>0.10880352285930255</v>
      </c>
      <c r="N83" s="34">
        <f t="shared" si="35"/>
        <v>0.2587931653287257</v>
      </c>
      <c r="P83" s="5">
        <f t="shared" si="31"/>
        <v>24.841543177712751</v>
      </c>
    </row>
    <row r="84" spans="1:16" x14ac:dyDescent="0.25">
      <c r="A84">
        <v>19</v>
      </c>
      <c r="C84">
        <v>31.738659999999999</v>
      </c>
      <c r="D84">
        <f t="shared" si="26"/>
        <v>31.738659999999999</v>
      </c>
      <c r="E84">
        <f t="shared" si="32"/>
        <v>31.832836</v>
      </c>
      <c r="F84">
        <v>7</v>
      </c>
      <c r="G84">
        <f t="shared" si="33"/>
        <v>175</v>
      </c>
      <c r="H84">
        <f t="shared" si="34"/>
        <v>0.18190191999999999</v>
      </c>
      <c r="I84">
        <v>2730868.53</v>
      </c>
      <c r="J84" s="5">
        <f t="shared" si="27"/>
        <v>1578.4420103399998</v>
      </c>
      <c r="K84" s="5">
        <f t="shared" si="28"/>
        <v>7.6476400316566568</v>
      </c>
      <c r="L84" s="5">
        <f t="shared" si="29"/>
        <v>3.799528279606836E-5</v>
      </c>
      <c r="M84" s="5">
        <f t="shared" si="30"/>
        <v>0.1199467011201259</v>
      </c>
      <c r="N84" s="34">
        <f t="shared" si="35"/>
        <v>0.28529762307197204</v>
      </c>
      <c r="P84" s="5">
        <f t="shared" si="31"/>
        <v>26.280675054094566</v>
      </c>
    </row>
    <row r="85" spans="1:16" x14ac:dyDescent="0.25">
      <c r="A85">
        <v>20</v>
      </c>
      <c r="C85">
        <v>35.757150000000003</v>
      </c>
      <c r="D85">
        <f t="shared" si="26"/>
        <v>35.757150000000003</v>
      </c>
      <c r="E85">
        <f t="shared" si="32"/>
        <v>35.851326</v>
      </c>
      <c r="F85">
        <v>7</v>
      </c>
      <c r="G85">
        <f t="shared" si="33"/>
        <v>175</v>
      </c>
      <c r="H85">
        <f t="shared" si="34"/>
        <v>0.20486472</v>
      </c>
      <c r="I85">
        <v>2880253.8499999987</v>
      </c>
      <c r="J85" s="5">
        <f t="shared" si="27"/>
        <v>1664.786725299999</v>
      </c>
      <c r="K85" s="5">
        <f t="shared" si="28"/>
        <v>8.6130571559999591</v>
      </c>
      <c r="L85" s="5">
        <f t="shared" si="29"/>
        <v>3.9262652876751174E-5</v>
      </c>
      <c r="M85" s="5">
        <f t="shared" si="30"/>
        <v>0.13072788661855433</v>
      </c>
      <c r="N85" s="34">
        <f t="shared" si="35"/>
        <v>0.31094106776762237</v>
      </c>
      <c r="P85" s="5">
        <f t="shared" si="31"/>
        <v>27.718293529551492</v>
      </c>
    </row>
    <row r="86" spans="1:16" x14ac:dyDescent="0.25">
      <c r="A86">
        <v>21</v>
      </c>
      <c r="C86">
        <v>39.848100000000002</v>
      </c>
      <c r="D86">
        <f t="shared" si="26"/>
        <v>39.848100000000002</v>
      </c>
      <c r="E86">
        <f t="shared" si="32"/>
        <v>39.942276</v>
      </c>
      <c r="F86">
        <v>7</v>
      </c>
      <c r="G86">
        <f t="shared" si="33"/>
        <v>175</v>
      </c>
      <c r="H86">
        <f t="shared" si="34"/>
        <v>0.22824157714285714</v>
      </c>
      <c r="I86">
        <v>2897680.439999999</v>
      </c>
      <c r="J86" s="5">
        <f t="shared" si="27"/>
        <v>1674.8592943199994</v>
      </c>
      <c r="K86" s="5">
        <f t="shared" si="28"/>
        <v>9.5958823427821169</v>
      </c>
      <c r="L86" s="5">
        <f t="shared" si="29"/>
        <v>4.1317455812137408E-5</v>
      </c>
      <c r="M86" s="5">
        <f t="shared" si="30"/>
        <v>0.13840184976922842</v>
      </c>
      <c r="N86" s="34">
        <f t="shared" si="35"/>
        <v>0.32919387027059899</v>
      </c>
      <c r="P86" s="5">
        <f t="shared" si="31"/>
        <v>27.885999350633604</v>
      </c>
    </row>
    <row r="87" spans="1:16" x14ac:dyDescent="0.25">
      <c r="A87">
        <v>22</v>
      </c>
      <c r="C87">
        <v>45.742420000000003</v>
      </c>
      <c r="D87">
        <f t="shared" si="26"/>
        <v>45.742420000000003</v>
      </c>
      <c r="E87">
        <f t="shared" si="32"/>
        <v>45.836596</v>
      </c>
      <c r="F87">
        <v>7</v>
      </c>
      <c r="G87">
        <f t="shared" si="33"/>
        <v>175</v>
      </c>
      <c r="H87">
        <f t="shared" si="34"/>
        <v>0.26192340571428574</v>
      </c>
      <c r="I87">
        <v>3070176.209999999</v>
      </c>
      <c r="J87" s="5">
        <f t="shared" si="27"/>
        <v>1774.5618493799993</v>
      </c>
      <c r="K87" s="5">
        <f t="shared" si="28"/>
        <v>11.011955908812944</v>
      </c>
      <c r="L87" s="5">
        <f t="shared" si="29"/>
        <v>4.2999849899604964E-5</v>
      </c>
      <c r="M87" s="5">
        <f t="shared" si="30"/>
        <v>0.15261178632181072</v>
      </c>
      <c r="N87" s="34">
        <f t="shared" si="35"/>
        <v>0.3629927249668623</v>
      </c>
      <c r="P87" s="5">
        <f t="shared" si="31"/>
        <v>29.546022610550782</v>
      </c>
    </row>
    <row r="88" spans="1:16" x14ac:dyDescent="0.25">
      <c r="P88" s="5"/>
    </row>
    <row r="89" spans="1:16" x14ac:dyDescent="0.25">
      <c r="P89" s="5"/>
    </row>
    <row r="90" spans="1:16" x14ac:dyDescent="0.25">
      <c r="A90" s="1" t="s">
        <v>38</v>
      </c>
      <c r="B90" s="1"/>
      <c r="I90" s="2"/>
      <c r="P90" s="5"/>
    </row>
    <row r="91" spans="1:16" ht="18.75" x14ac:dyDescent="0.35">
      <c r="A91" t="s">
        <v>0</v>
      </c>
      <c r="C91" t="s">
        <v>1</v>
      </c>
      <c r="D91" t="s">
        <v>2</v>
      </c>
      <c r="E91" t="s">
        <v>3</v>
      </c>
      <c r="F91" s="1" t="s">
        <v>5</v>
      </c>
      <c r="G91" s="1" t="s">
        <v>6</v>
      </c>
      <c r="H91" s="1" t="s">
        <v>7</v>
      </c>
      <c r="I91" s="1" t="s">
        <v>4</v>
      </c>
      <c r="J91" s="1" t="s">
        <v>21</v>
      </c>
      <c r="K91" s="1" t="s">
        <v>16</v>
      </c>
      <c r="L91" s="1" t="s">
        <v>17</v>
      </c>
      <c r="M91" s="1" t="s">
        <v>18</v>
      </c>
      <c r="N91" s="1" t="s">
        <v>19</v>
      </c>
      <c r="O91" s="21"/>
      <c r="P91" s="1" t="s">
        <v>23</v>
      </c>
    </row>
    <row r="92" spans="1:16" x14ac:dyDescent="0.25">
      <c r="A92">
        <v>0</v>
      </c>
      <c r="C92">
        <v>5.2137999999999997E-2</v>
      </c>
      <c r="D92">
        <f t="shared" ref="D92:D108" si="36">C92-$C$92</f>
        <v>0</v>
      </c>
      <c r="E92">
        <f>D92+($E$2*9.81)</f>
        <v>9.4175999999999996E-2</v>
      </c>
      <c r="F92">
        <v>7.75</v>
      </c>
      <c r="G92">
        <f>F92*$E$3</f>
        <v>193.75</v>
      </c>
      <c r="H92">
        <f>E92/G92</f>
        <v>4.8606967741935482E-4</v>
      </c>
      <c r="I92">
        <v>240369.72000000003</v>
      </c>
      <c r="J92">
        <f t="shared" ref="J92:J108" si="37">(I92*$E$4)/1000</f>
        <v>138.93369816000001</v>
      </c>
      <c r="K92">
        <f t="shared" ref="K92:K108" si="38">E92*($E$11/G92)</f>
        <v>2.0435660729731141E-2</v>
      </c>
      <c r="L92">
        <f t="shared" ref="L92:L108" si="39">SQRT((4*$E$6*K92)/(2*3.14*$E$7*J92))</f>
        <v>6.6201956099945812E-6</v>
      </c>
      <c r="M92">
        <f t="shared" ref="M92:M129" si="40">2*L92*J92</f>
        <v>1.8395365172782885E-3</v>
      </c>
      <c r="N92">
        <f>(M92/$E$11)*100</f>
        <v>4.375405000992815E-3</v>
      </c>
      <c r="P92" s="5">
        <f t="shared" ref="P92:P108" si="41">(J92/$E$12)*100</f>
        <v>2.313212238072734</v>
      </c>
    </row>
    <row r="93" spans="1:16" x14ac:dyDescent="0.25">
      <c r="A93">
        <v>2</v>
      </c>
      <c r="C93">
        <v>0.85300900000000002</v>
      </c>
      <c r="D93">
        <f t="shared" si="36"/>
        <v>0.800871</v>
      </c>
      <c r="E93">
        <f>D93+($E$2*9.81)</f>
        <v>0.89504700000000004</v>
      </c>
      <c r="F93" s="21">
        <v>7.75</v>
      </c>
      <c r="G93">
        <f t="shared" ref="G93:G108" si="42">F93*$E$3</f>
        <v>193.75</v>
      </c>
      <c r="H93">
        <f>E93/G93</f>
        <v>4.6195974193548386E-3</v>
      </c>
      <c r="I93">
        <v>443775.44000000006</v>
      </c>
      <c r="J93">
        <f t="shared" si="37"/>
        <v>256.50220432000003</v>
      </c>
      <c r="K93">
        <f t="shared" si="38"/>
        <v>0.19422014981697747</v>
      </c>
      <c r="L93">
        <f t="shared" si="39"/>
        <v>1.5020412838668975E-5</v>
      </c>
      <c r="M93">
        <f t="shared" si="40"/>
        <v>7.7055380058300427E-3</v>
      </c>
      <c r="N93" s="34">
        <f t="shared" ref="N93:N108" si="43">(M93/$E$11)*100</f>
        <v>1.832790445276522E-2</v>
      </c>
      <c r="P93" s="5">
        <f t="shared" si="41"/>
        <v>4.2706992326825208</v>
      </c>
    </row>
    <row r="94" spans="1:16" x14ac:dyDescent="0.25">
      <c r="A94">
        <v>4</v>
      </c>
      <c r="C94">
        <v>1.60067</v>
      </c>
      <c r="D94">
        <f>C94-$C$92</f>
        <v>1.548532</v>
      </c>
      <c r="E94">
        <f t="shared" ref="E94:E108" si="44">D94+($E$2*9.81)</f>
        <v>1.6427080000000001</v>
      </c>
      <c r="F94" s="21">
        <v>7.75</v>
      </c>
      <c r="G94">
        <f t="shared" si="42"/>
        <v>193.75</v>
      </c>
      <c r="H94" s="5">
        <f t="shared" ref="H94:H108" si="45">E94/G94</f>
        <v>8.4784929032258073E-3</v>
      </c>
      <c r="I94">
        <v>634380.45000000007</v>
      </c>
      <c r="J94">
        <f t="shared" si="37"/>
        <v>366.67190010000002</v>
      </c>
      <c r="K94">
        <f t="shared" si="38"/>
        <v>0.35645836907508482</v>
      </c>
      <c r="L94">
        <f t="shared" si="39"/>
        <v>1.7019463713248658E-5</v>
      </c>
      <c r="M94">
        <f t="shared" si="40"/>
        <v>1.2481118196839775E-2</v>
      </c>
      <c r="N94" s="34">
        <f t="shared" si="43"/>
        <v>2.968679689883736E-2</v>
      </c>
      <c r="P94" s="5">
        <f t="shared" si="41"/>
        <v>6.104997836391739</v>
      </c>
    </row>
    <row r="95" spans="1:16" x14ac:dyDescent="0.25">
      <c r="A95">
        <v>6</v>
      </c>
      <c r="C95">
        <v>2.407041</v>
      </c>
      <c r="D95">
        <f t="shared" si="36"/>
        <v>2.3549030000000002</v>
      </c>
      <c r="E95">
        <f t="shared" si="44"/>
        <v>2.4490790000000002</v>
      </c>
      <c r="F95" s="21">
        <v>7.75</v>
      </c>
      <c r="G95">
        <f t="shared" si="42"/>
        <v>193.75</v>
      </c>
      <c r="H95" s="5">
        <f t="shared" si="45"/>
        <v>1.2640407741935485E-2</v>
      </c>
      <c r="I95">
        <v>818327.96000000008</v>
      </c>
      <c r="J95">
        <f t="shared" si="37"/>
        <v>472.99356088000002</v>
      </c>
      <c r="K95">
        <f t="shared" si="38"/>
        <v>0.53143632713546152</v>
      </c>
      <c r="L95">
        <f t="shared" si="39"/>
        <v>1.8296932363635075E-5</v>
      </c>
      <c r="M95">
        <f t="shared" si="40"/>
        <v>1.730866238371254E-2</v>
      </c>
      <c r="N95" s="34">
        <f t="shared" si="43"/>
        <v>4.1169287612861843E-2</v>
      </c>
      <c r="P95" s="5">
        <f t="shared" si="41"/>
        <v>7.875227594511883</v>
      </c>
    </row>
    <row r="96" spans="1:16" x14ac:dyDescent="0.25">
      <c r="A96">
        <v>8</v>
      </c>
      <c r="C96">
        <v>3.2487970000000002</v>
      </c>
      <c r="D96">
        <f t="shared" si="36"/>
        <v>3.1966590000000004</v>
      </c>
      <c r="E96">
        <f t="shared" si="44"/>
        <v>3.2908350000000004</v>
      </c>
      <c r="F96" s="21">
        <v>7.75</v>
      </c>
      <c r="G96">
        <f t="shared" si="42"/>
        <v>193.75</v>
      </c>
      <c r="H96" s="5">
        <f t="shared" si="45"/>
        <v>1.6984954838709678E-2</v>
      </c>
      <c r="I96">
        <v>963197.9800000001</v>
      </c>
      <c r="J96">
        <f t="shared" si="37"/>
        <v>556.72843244000001</v>
      </c>
      <c r="K96">
        <f t="shared" si="38"/>
        <v>0.71409263058024119</v>
      </c>
      <c r="L96">
        <f t="shared" si="39"/>
        <v>1.9549508933126299E-5</v>
      </c>
      <c r="M96">
        <f t="shared" si="40"/>
        <v>2.1767534926622364E-2</v>
      </c>
      <c r="N96" s="34">
        <f t="shared" si="43"/>
        <v>5.177487931478824E-2</v>
      </c>
      <c r="P96" s="5">
        <f t="shared" si="41"/>
        <v>9.2693928129671921</v>
      </c>
    </row>
    <row r="97" spans="1:16" x14ac:dyDescent="0.25">
      <c r="A97">
        <v>10</v>
      </c>
      <c r="C97">
        <v>3.9839660000000001</v>
      </c>
      <c r="D97">
        <f t="shared" si="36"/>
        <v>3.9318280000000003</v>
      </c>
      <c r="E97">
        <f t="shared" si="44"/>
        <v>4.0260040000000004</v>
      </c>
      <c r="F97" s="21">
        <v>7.75</v>
      </c>
      <c r="G97">
        <f t="shared" si="42"/>
        <v>193.75</v>
      </c>
      <c r="H97" s="5">
        <f t="shared" si="45"/>
        <v>2.077937548387097E-2</v>
      </c>
      <c r="I97">
        <v>1099891.96</v>
      </c>
      <c r="J97">
        <f t="shared" si="37"/>
        <v>635.73755287999995</v>
      </c>
      <c r="K97">
        <f t="shared" si="38"/>
        <v>0.87362015630883139</v>
      </c>
      <c r="L97">
        <f t="shared" si="39"/>
        <v>2.0234974796741366E-5</v>
      </c>
      <c r="M97">
        <f t="shared" si="40"/>
        <v>2.5728266719737661E-2</v>
      </c>
      <c r="N97" s="34">
        <f t="shared" si="43"/>
        <v>6.1195624993068368E-2</v>
      </c>
      <c r="P97" s="5">
        <f t="shared" si="41"/>
        <v>10.584875426196801</v>
      </c>
    </row>
    <row r="98" spans="1:16" x14ac:dyDescent="0.25">
      <c r="A98">
        <v>12</v>
      </c>
      <c r="C98">
        <v>5.9434019999999999</v>
      </c>
      <c r="D98">
        <f t="shared" si="36"/>
        <v>5.8912639999999996</v>
      </c>
      <c r="E98">
        <f t="shared" si="44"/>
        <v>5.9854399999999996</v>
      </c>
      <c r="F98" s="21">
        <v>7.75</v>
      </c>
      <c r="G98">
        <f t="shared" si="42"/>
        <v>193.75</v>
      </c>
      <c r="H98" s="5">
        <f t="shared" si="45"/>
        <v>3.0892593548387096E-2</v>
      </c>
      <c r="I98">
        <v>1558681.1199999996</v>
      </c>
      <c r="J98">
        <f t="shared" si="37"/>
        <v>900.91768735999972</v>
      </c>
      <c r="K98">
        <f t="shared" si="38"/>
        <v>1.2988067146423925</v>
      </c>
      <c r="L98">
        <f t="shared" si="39"/>
        <v>2.0725737048482247E-5</v>
      </c>
      <c r="M98">
        <f t="shared" si="40"/>
        <v>3.734436618110018E-2</v>
      </c>
      <c r="N98" s="34">
        <f t="shared" si="43"/>
        <v>8.8824943138094678E-2</v>
      </c>
      <c r="P98" s="5">
        <f t="shared" si="41"/>
        <v>15.000060082596569</v>
      </c>
    </row>
    <row r="99" spans="1:16" x14ac:dyDescent="0.25">
      <c r="A99">
        <v>13</v>
      </c>
      <c r="C99">
        <v>7.9574189999999998</v>
      </c>
      <c r="D99">
        <f t="shared" si="36"/>
        <v>7.9052809999999996</v>
      </c>
      <c r="E99">
        <f t="shared" si="44"/>
        <v>7.9994569999999996</v>
      </c>
      <c r="F99" s="21">
        <v>7.75</v>
      </c>
      <c r="G99">
        <f t="shared" si="42"/>
        <v>193.75</v>
      </c>
      <c r="H99" s="5">
        <f t="shared" si="45"/>
        <v>4.1287520000000001E-2</v>
      </c>
      <c r="I99">
        <v>1767048.8499999996</v>
      </c>
      <c r="J99">
        <f t="shared" si="37"/>
        <v>1021.3542352999997</v>
      </c>
      <c r="K99">
        <f t="shared" si="38"/>
        <v>1.7358370420709404</v>
      </c>
      <c r="L99">
        <f t="shared" si="39"/>
        <v>2.250331796986389E-5</v>
      </c>
      <c r="M99">
        <f t="shared" si="40"/>
        <v>4.5967718233646149E-2</v>
      </c>
      <c r="N99" s="34">
        <f t="shared" si="43"/>
        <v>0.10933590192670095</v>
      </c>
      <c r="P99" s="5">
        <f t="shared" si="41"/>
        <v>17.005299274352648</v>
      </c>
    </row>
    <row r="100" spans="1:16" x14ac:dyDescent="0.25">
      <c r="A100">
        <v>14</v>
      </c>
      <c r="C100">
        <v>11.859780000000001</v>
      </c>
      <c r="D100">
        <f t="shared" si="36"/>
        <v>11.807642000000001</v>
      </c>
      <c r="E100">
        <f t="shared" si="44"/>
        <v>11.901818</v>
      </c>
      <c r="F100" s="21">
        <v>7.75</v>
      </c>
      <c r="G100">
        <f t="shared" si="42"/>
        <v>193.75</v>
      </c>
      <c r="H100" s="5">
        <f t="shared" si="45"/>
        <v>6.1428738064516132E-2</v>
      </c>
      <c r="I100">
        <v>1937659.2199999993</v>
      </c>
      <c r="J100">
        <f t="shared" si="37"/>
        <v>1119.9670291599994</v>
      </c>
      <c r="K100">
        <f t="shared" si="38"/>
        <v>2.5826273648807261</v>
      </c>
      <c r="L100">
        <f t="shared" si="39"/>
        <v>2.6212505423451107E-5</v>
      </c>
      <c r="M100">
        <f t="shared" si="40"/>
        <v>5.8714283651885815E-2</v>
      </c>
      <c r="N100" s="34">
        <f t="shared" si="43"/>
        <v>0.13965407476676245</v>
      </c>
      <c r="P100" s="5">
        <f t="shared" si="41"/>
        <v>18.647178275693232</v>
      </c>
    </row>
    <row r="101" spans="1:16" x14ac:dyDescent="0.25">
      <c r="A101">
        <v>15</v>
      </c>
      <c r="C101">
        <v>15.84381</v>
      </c>
      <c r="D101">
        <f t="shared" si="36"/>
        <v>15.791672</v>
      </c>
      <c r="E101">
        <f t="shared" si="44"/>
        <v>15.885847999999999</v>
      </c>
      <c r="F101" s="21">
        <v>7.75</v>
      </c>
      <c r="G101">
        <f t="shared" si="42"/>
        <v>193.75</v>
      </c>
      <c r="H101" s="5">
        <f t="shared" si="45"/>
        <v>8.1991473548387095E-2</v>
      </c>
      <c r="I101">
        <v>2201443.5999999992</v>
      </c>
      <c r="J101">
        <f t="shared" si="37"/>
        <v>1272.4344007999994</v>
      </c>
      <c r="K101">
        <f t="shared" si="38"/>
        <v>3.4471393999753439</v>
      </c>
      <c r="L101">
        <f t="shared" si="39"/>
        <v>2.8411358497941354E-5</v>
      </c>
      <c r="M101">
        <f t="shared" si="40"/>
        <v>7.2303179852483954E-2</v>
      </c>
      <c r="N101" s="34">
        <f t="shared" si="43"/>
        <v>0.17197576223292901</v>
      </c>
      <c r="P101" s="5">
        <f t="shared" si="41"/>
        <v>21.185722881180265</v>
      </c>
    </row>
    <row r="102" spans="1:16" x14ac:dyDescent="0.25">
      <c r="A102">
        <v>16</v>
      </c>
      <c r="C102">
        <v>19.945540000000001</v>
      </c>
      <c r="D102">
        <f t="shared" si="36"/>
        <v>19.893402000000002</v>
      </c>
      <c r="E102">
        <f t="shared" si="44"/>
        <v>19.987578000000003</v>
      </c>
      <c r="F102" s="21">
        <v>7.75</v>
      </c>
      <c r="G102">
        <f t="shared" si="42"/>
        <v>193.75</v>
      </c>
      <c r="H102" s="5">
        <f t="shared" si="45"/>
        <v>0.10316169290322583</v>
      </c>
      <c r="I102">
        <v>2479252.7399999993</v>
      </c>
      <c r="J102">
        <f t="shared" si="37"/>
        <v>1433.0080837199996</v>
      </c>
      <c r="K102">
        <f t="shared" si="38"/>
        <v>4.3371916710949519</v>
      </c>
      <c r="L102">
        <f t="shared" si="39"/>
        <v>3.0030341112443608E-5</v>
      </c>
      <c r="M102">
        <f t="shared" si="40"/>
        <v>8.6067443142001473E-2</v>
      </c>
      <c r="N102" s="34">
        <f t="shared" si="43"/>
        <v>0.20471456674497115</v>
      </c>
      <c r="P102" s="5">
        <f t="shared" si="41"/>
        <v>23.859235595246172</v>
      </c>
    </row>
    <row r="103" spans="1:16" x14ac:dyDescent="0.25">
      <c r="A103">
        <v>17</v>
      </c>
      <c r="C103">
        <v>25.151150000000001</v>
      </c>
      <c r="D103">
        <f t="shared" si="36"/>
        <v>25.099012000000002</v>
      </c>
      <c r="E103">
        <f t="shared" si="44"/>
        <v>25.193188000000003</v>
      </c>
      <c r="F103" s="21">
        <v>7.75</v>
      </c>
      <c r="G103">
        <f t="shared" si="42"/>
        <v>193.75</v>
      </c>
      <c r="H103" s="5">
        <f t="shared" si="45"/>
        <v>0.13002935741935484</v>
      </c>
      <c r="I103">
        <v>2768516.3299999991</v>
      </c>
      <c r="J103">
        <f t="shared" si="37"/>
        <v>1600.2024387399995</v>
      </c>
      <c r="K103">
        <f t="shared" si="38"/>
        <v>5.4667796749525772</v>
      </c>
      <c r="L103">
        <f t="shared" si="39"/>
        <v>3.1904989020653249E-5</v>
      </c>
      <c r="M103">
        <f t="shared" si="40"/>
        <v>0.10210888247764448</v>
      </c>
      <c r="N103" s="34">
        <f t="shared" si="43"/>
        <v>0.24286971791106088</v>
      </c>
      <c r="P103" s="5">
        <f t="shared" si="41"/>
        <v>26.642980887360558</v>
      </c>
    </row>
    <row r="104" spans="1:16" x14ac:dyDescent="0.25">
      <c r="A104">
        <v>18</v>
      </c>
      <c r="C104">
        <v>27.825019999999999</v>
      </c>
      <c r="D104">
        <f t="shared" si="36"/>
        <v>27.772881999999999</v>
      </c>
      <c r="E104">
        <f t="shared" si="44"/>
        <v>27.867058</v>
      </c>
      <c r="F104" s="21">
        <v>7.75</v>
      </c>
      <c r="G104">
        <f t="shared" si="42"/>
        <v>193.75</v>
      </c>
      <c r="H104" s="5">
        <f t="shared" si="45"/>
        <v>0.14382997677419354</v>
      </c>
      <c r="I104">
        <v>2927901.9799999995</v>
      </c>
      <c r="J104">
        <f t="shared" si="37"/>
        <v>1692.3273444399997</v>
      </c>
      <c r="K104">
        <f t="shared" si="38"/>
        <v>6.0469943809860265</v>
      </c>
      <c r="L104">
        <f t="shared" si="39"/>
        <v>3.2629308839488721E-5</v>
      </c>
      <c r="M104">
        <f t="shared" si="40"/>
        <v>0.11043894315848911</v>
      </c>
      <c r="N104" s="34">
        <f t="shared" si="43"/>
        <v>0.26268307242683175</v>
      </c>
      <c r="P104" s="5">
        <f t="shared" si="41"/>
        <v>28.176838130915105</v>
      </c>
    </row>
    <row r="105" spans="1:16" x14ac:dyDescent="0.25">
      <c r="A105">
        <v>19</v>
      </c>
      <c r="C105">
        <v>31.800239999999999</v>
      </c>
      <c r="D105">
        <f t="shared" si="36"/>
        <v>31.748101999999999</v>
      </c>
      <c r="E105">
        <f t="shared" si="44"/>
        <v>31.842278</v>
      </c>
      <c r="F105" s="21">
        <v>7.75</v>
      </c>
      <c r="G105">
        <f t="shared" si="42"/>
        <v>193.75</v>
      </c>
      <c r="H105" s="5">
        <f t="shared" si="45"/>
        <v>0.16434724129032258</v>
      </c>
      <c r="I105">
        <v>2860736.8399999989</v>
      </c>
      <c r="J105">
        <f t="shared" si="37"/>
        <v>1653.5058935199993</v>
      </c>
      <c r="K105">
        <f t="shared" si="38"/>
        <v>6.9095946957800489</v>
      </c>
      <c r="L105">
        <f t="shared" si="39"/>
        <v>3.528610246815803E-5</v>
      </c>
      <c r="M105">
        <f t="shared" si="40"/>
        <v>0.11669155678089979</v>
      </c>
      <c r="N105" s="34">
        <f t="shared" si="43"/>
        <v>0.27755514300320117</v>
      </c>
      <c r="P105" s="5">
        <f t="shared" si="41"/>
        <v>27.530470427778997</v>
      </c>
    </row>
    <row r="106" spans="1:16" x14ac:dyDescent="0.25">
      <c r="A106">
        <v>20</v>
      </c>
      <c r="C106">
        <v>35.947800000000001</v>
      </c>
      <c r="D106">
        <f t="shared" si="36"/>
        <v>35.895662000000002</v>
      </c>
      <c r="E106">
        <f t="shared" si="44"/>
        <v>35.989837999999999</v>
      </c>
      <c r="F106" s="21">
        <v>7.75</v>
      </c>
      <c r="G106">
        <f t="shared" si="42"/>
        <v>193.75</v>
      </c>
      <c r="H106" s="5">
        <f t="shared" si="45"/>
        <v>0.18575400258064514</v>
      </c>
      <c r="I106">
        <v>3139681.0999999987</v>
      </c>
      <c r="J106">
        <f t="shared" si="37"/>
        <v>1814.7356757999992</v>
      </c>
      <c r="K106">
        <f t="shared" si="38"/>
        <v>7.8095918183612127</v>
      </c>
      <c r="L106">
        <f t="shared" si="39"/>
        <v>3.5808634236130262E-5</v>
      </c>
      <c r="M106">
        <f t="shared" si="40"/>
        <v>0.12996641209995768</v>
      </c>
      <c r="N106" s="34">
        <f t="shared" si="43"/>
        <v>0.30912987272718578</v>
      </c>
      <c r="P106" s="5">
        <f t="shared" si="41"/>
        <v>30.214907036400675</v>
      </c>
    </row>
    <row r="107" spans="1:16" x14ac:dyDescent="0.25">
      <c r="A107">
        <v>21</v>
      </c>
      <c r="C107">
        <v>39.89723</v>
      </c>
      <c r="D107">
        <f t="shared" si="36"/>
        <v>39.845092000000001</v>
      </c>
      <c r="E107">
        <f t="shared" si="44"/>
        <v>39.939267999999998</v>
      </c>
      <c r="F107" s="21">
        <v>7.75</v>
      </c>
      <c r="G107">
        <f t="shared" si="42"/>
        <v>193.75</v>
      </c>
      <c r="H107" s="5">
        <f t="shared" si="45"/>
        <v>0.20613815741935482</v>
      </c>
      <c r="I107">
        <v>3171327.2399999988</v>
      </c>
      <c r="J107">
        <f t="shared" si="37"/>
        <v>1833.0271447199993</v>
      </c>
      <c r="K107">
        <f t="shared" si="38"/>
        <v>8.6665958486430466</v>
      </c>
      <c r="L107">
        <f t="shared" si="39"/>
        <v>3.7533589685566647E-5</v>
      </c>
      <c r="M107">
        <f t="shared" si="40"/>
        <v>0.13760017746485251</v>
      </c>
      <c r="N107" s="34">
        <f t="shared" si="43"/>
        <v>0.32728706332397006</v>
      </c>
      <c r="P107" s="5">
        <f t="shared" si="41"/>
        <v>30.519455539164515</v>
      </c>
    </row>
    <row r="108" spans="1:16" x14ac:dyDescent="0.25">
      <c r="A108">
        <v>22</v>
      </c>
      <c r="C108">
        <v>46.278939999999999</v>
      </c>
      <c r="D108">
        <f t="shared" si="36"/>
        <v>46.226801999999999</v>
      </c>
      <c r="E108">
        <f t="shared" si="44"/>
        <v>46.320977999999997</v>
      </c>
      <c r="F108" s="21">
        <v>7.75</v>
      </c>
      <c r="G108">
        <f t="shared" si="42"/>
        <v>193.75</v>
      </c>
      <c r="H108" s="5">
        <f t="shared" si="45"/>
        <v>0.23907601548387095</v>
      </c>
      <c r="I108">
        <v>3465302.8599999985</v>
      </c>
      <c r="J108">
        <f t="shared" si="37"/>
        <v>2002.9450530799991</v>
      </c>
      <c r="K108">
        <f t="shared" si="38"/>
        <v>10.051390917827685</v>
      </c>
      <c r="L108">
        <f t="shared" si="39"/>
        <v>3.8668635033518137E-5</v>
      </c>
      <c r="M108">
        <f t="shared" si="40"/>
        <v>0.1549023024994822</v>
      </c>
      <c r="N108" s="34">
        <f t="shared" si="43"/>
        <v>0.36844080161253107</v>
      </c>
      <c r="P108" s="5">
        <f t="shared" si="41"/>
        <v>33.348547331088298</v>
      </c>
    </row>
    <row r="109" spans="1:16" x14ac:dyDescent="0.25">
      <c r="J109" s="33"/>
      <c r="K109" s="33"/>
      <c r="L109" s="33"/>
      <c r="M109" s="33"/>
      <c r="N109" s="33"/>
      <c r="P109" s="33"/>
    </row>
    <row r="110" spans="1:16" x14ac:dyDescent="0.25">
      <c r="J110" s="33"/>
      <c r="K110" s="33"/>
      <c r="L110" s="33"/>
      <c r="M110" s="33"/>
      <c r="N110" s="33"/>
      <c r="P110" s="33"/>
    </row>
    <row r="111" spans="1:16" x14ac:dyDescent="0.25">
      <c r="A111" s="1" t="s">
        <v>28</v>
      </c>
      <c r="B111" s="1"/>
      <c r="C111" s="6"/>
      <c r="D111" s="6"/>
      <c r="E111" s="6"/>
      <c r="F111" s="6"/>
      <c r="G111" s="6"/>
      <c r="H111" s="6"/>
      <c r="I111" s="2"/>
      <c r="J111" s="33"/>
      <c r="K111" s="33"/>
      <c r="L111" s="33"/>
      <c r="M111" s="33"/>
      <c r="N111" s="33"/>
      <c r="O111" s="6"/>
      <c r="P111" s="33"/>
    </row>
    <row r="112" spans="1:16" ht="18.75" x14ac:dyDescent="0.35">
      <c r="A112" s="1" t="s">
        <v>0</v>
      </c>
      <c r="B112" s="1"/>
      <c r="C112" s="1" t="s">
        <v>1</v>
      </c>
      <c r="D112" s="1" t="s">
        <v>2</v>
      </c>
      <c r="E112" s="1" t="s">
        <v>3</v>
      </c>
      <c r="F112" s="1" t="s">
        <v>5</v>
      </c>
      <c r="G112" s="1" t="s">
        <v>6</v>
      </c>
      <c r="H112" s="1" t="s">
        <v>7</v>
      </c>
      <c r="I112" s="1" t="s">
        <v>4</v>
      </c>
      <c r="J112" s="30" t="s">
        <v>21</v>
      </c>
      <c r="K112" s="30" t="s">
        <v>16</v>
      </c>
      <c r="L112" s="30" t="s">
        <v>17</v>
      </c>
      <c r="M112" s="30" t="s">
        <v>18</v>
      </c>
      <c r="N112" s="30" t="s">
        <v>19</v>
      </c>
      <c r="O112" s="33"/>
      <c r="P112" s="30" t="s">
        <v>23</v>
      </c>
    </row>
    <row r="113" spans="1:16" x14ac:dyDescent="0.25">
      <c r="A113" s="6">
        <v>0</v>
      </c>
      <c r="C113" s="20">
        <v>0.12563067386522747</v>
      </c>
      <c r="D113">
        <f>C113-$C$113</f>
        <v>0</v>
      </c>
      <c r="E113" s="21">
        <f>D113+($E$2*9.81)</f>
        <v>9.4175999999999996E-2</v>
      </c>
      <c r="F113">
        <v>7.3</v>
      </c>
      <c r="G113" s="21">
        <f t="shared" ref="G113:G129" si="46">F113*$E$3</f>
        <v>182.5</v>
      </c>
      <c r="H113" s="21">
        <f>E113/G113</f>
        <v>5.1603287671232875E-4</v>
      </c>
      <c r="I113">
        <v>232646.8</v>
      </c>
      <c r="J113" s="33">
        <f t="shared" ref="J113:J130" si="47">(I113*$E$4)/1000</f>
        <v>134.46985039999998</v>
      </c>
      <c r="K113" s="33">
        <f t="shared" ref="K113:K129" si="48">E113*($E$11/G113)</f>
        <v>2.169539324046799E-2</v>
      </c>
      <c r="L113" s="33">
        <f t="shared" ref="L113:L129" si="49">SQRT((4*$E$6*K113)/(2*3.14*$E$7*J113))</f>
        <v>6.9334849988590657E-6</v>
      </c>
      <c r="M113" s="33">
        <f t="shared" si="40"/>
        <v>1.8646893810944452E-3</v>
      </c>
      <c r="N113" s="33">
        <f>(M113/$E$11)*100</f>
        <v>4.4352320090988214E-3</v>
      </c>
      <c r="P113" s="33">
        <f>(J113/$E$12)*100</f>
        <v>2.2388902600063751</v>
      </c>
    </row>
    <row r="114" spans="1:16" x14ac:dyDescent="0.25">
      <c r="A114">
        <v>2</v>
      </c>
      <c r="C114" s="21">
        <v>0.78186922615476839</v>
      </c>
      <c r="D114" s="21">
        <f t="shared" ref="D114:D129" si="50">C114-$C$113</f>
        <v>0.65623855228954087</v>
      </c>
      <c r="E114" s="21">
        <f t="shared" ref="E114:E130" si="51">D114+($E$2*9.81)</f>
        <v>0.7504145522895409</v>
      </c>
      <c r="F114" s="34">
        <v>7.3</v>
      </c>
      <c r="G114" s="21">
        <f t="shared" si="46"/>
        <v>182.5</v>
      </c>
      <c r="H114" s="21">
        <f t="shared" ref="H114:H129" si="52">E114/G114</f>
        <v>4.111860560490635E-3</v>
      </c>
      <c r="I114" s="33">
        <v>432643.95000000007</v>
      </c>
      <c r="J114" s="33">
        <f t="shared" si="47"/>
        <v>250.06820310000001</v>
      </c>
      <c r="K114" s="33">
        <f t="shared" si="48"/>
        <v>0.17287354320943044</v>
      </c>
      <c r="L114" s="33">
        <f t="shared" si="49"/>
        <v>1.435209524782571E-5</v>
      </c>
      <c r="M114" s="33">
        <f t="shared" si="40"/>
        <v>7.1780053386876494E-3</v>
      </c>
      <c r="N114" s="34">
        <f t="shared" ref="N114:N130" si="53">(M114/$E$11)*100</f>
        <v>1.7073148676882616E-2</v>
      </c>
      <c r="P114" s="33">
        <f t="shared" ref="P114:P129" si="54">(J114/$E$12)*100</f>
        <v>4.1635746793237018</v>
      </c>
    </row>
    <row r="115" spans="1:16" x14ac:dyDescent="0.25">
      <c r="A115" s="6">
        <v>4</v>
      </c>
      <c r="C115" s="19">
        <v>1.5405050989802138</v>
      </c>
      <c r="D115" s="21">
        <f t="shared" si="50"/>
        <v>1.4148744251149863</v>
      </c>
      <c r="E115" s="21">
        <f t="shared" si="51"/>
        <v>1.5090504251149863</v>
      </c>
      <c r="F115" s="34">
        <v>7.3</v>
      </c>
      <c r="G115" s="21">
        <f t="shared" si="46"/>
        <v>182.5</v>
      </c>
      <c r="H115" s="21">
        <f t="shared" si="52"/>
        <v>8.2687694526848571E-3</v>
      </c>
      <c r="I115" s="32">
        <v>597412.8600000001</v>
      </c>
      <c r="J115" s="33">
        <f t="shared" si="47"/>
        <v>345.30463308000003</v>
      </c>
      <c r="K115" s="33">
        <f t="shared" si="48"/>
        <v>0.34764103797745738</v>
      </c>
      <c r="L115" s="33">
        <f t="shared" si="49"/>
        <v>1.7319868653151577E-5</v>
      </c>
      <c r="M115" s="33">
        <f t="shared" si="40"/>
        <v>1.19612617805406E-2</v>
      </c>
      <c r="N115" s="34">
        <f t="shared" si="53"/>
        <v>2.8450299366818262E-2</v>
      </c>
      <c r="P115" s="33">
        <f t="shared" si="54"/>
        <v>5.7492380443511477</v>
      </c>
    </row>
    <row r="116" spans="1:16" x14ac:dyDescent="0.25">
      <c r="A116" s="6">
        <v>6</v>
      </c>
      <c r="C116" s="18">
        <v>2.3536432713457414</v>
      </c>
      <c r="D116" s="21">
        <f t="shared" si="50"/>
        <v>2.2280125974805141</v>
      </c>
      <c r="E116" s="21">
        <f t="shared" si="51"/>
        <v>2.3221885974805141</v>
      </c>
      <c r="F116" s="34">
        <v>7.3</v>
      </c>
      <c r="G116" s="21">
        <f t="shared" si="46"/>
        <v>182.5</v>
      </c>
      <c r="H116" s="21">
        <f>E116/G116</f>
        <v>1.2724321082085009E-2</v>
      </c>
      <c r="I116" s="31">
        <v>720068.19000000006</v>
      </c>
      <c r="J116" s="33">
        <f t="shared" si="47"/>
        <v>416.19941382000002</v>
      </c>
      <c r="K116" s="33">
        <f t="shared" si="48"/>
        <v>0.53496426691376353</v>
      </c>
      <c r="L116" s="33">
        <f t="shared" si="49"/>
        <v>1.9570049895069414E-5</v>
      </c>
      <c r="M116" s="33">
        <f t="shared" si="40"/>
        <v>1.6290086589512087E-2</v>
      </c>
      <c r="N116" s="34">
        <f t="shared" si="53"/>
        <v>3.8746567769045517E-2</v>
      </c>
      <c r="P116" s="33">
        <f t="shared" si="54"/>
        <v>6.929618877764149</v>
      </c>
    </row>
    <row r="117" spans="1:16" x14ac:dyDescent="0.25">
      <c r="A117" s="6">
        <v>8</v>
      </c>
      <c r="C117" s="17">
        <v>3.1772503499299916</v>
      </c>
      <c r="D117" s="21">
        <f t="shared" si="50"/>
        <v>3.0516196760647643</v>
      </c>
      <c r="E117" s="21">
        <f t="shared" si="51"/>
        <v>3.1457956760647643</v>
      </c>
      <c r="F117" s="34">
        <v>7.3</v>
      </c>
      <c r="G117" s="21">
        <f t="shared" si="46"/>
        <v>182.5</v>
      </c>
      <c r="H117" s="21">
        <f t="shared" si="52"/>
        <v>1.723723658117679E-2</v>
      </c>
      <c r="I117" s="3">
        <v>846439.9800000001</v>
      </c>
      <c r="J117" s="33">
        <f t="shared" si="47"/>
        <v>489.24230843999999</v>
      </c>
      <c r="K117" s="33">
        <f t="shared" si="48"/>
        <v>0.72469922534816644</v>
      </c>
      <c r="L117" s="33">
        <f t="shared" si="49"/>
        <v>2.1008602945444924E-5</v>
      </c>
      <c r="M117" s="33">
        <f t="shared" si="40"/>
        <v>2.0556594804257717E-2</v>
      </c>
      <c r="N117" s="34">
        <f t="shared" si="53"/>
        <v>4.889461386882886E-2</v>
      </c>
      <c r="P117" s="33">
        <f t="shared" si="54"/>
        <v>8.1457652841216444</v>
      </c>
    </row>
    <row r="118" spans="1:16" x14ac:dyDescent="0.25">
      <c r="A118" s="6">
        <v>10</v>
      </c>
      <c r="C118" s="16">
        <v>3.9732037592481539</v>
      </c>
      <c r="D118" s="21">
        <f t="shared" si="50"/>
        <v>3.8475730853829266</v>
      </c>
      <c r="E118" s="21">
        <f t="shared" si="51"/>
        <v>3.9417490853829267</v>
      </c>
      <c r="F118" s="34">
        <v>7.3</v>
      </c>
      <c r="G118" s="21">
        <f t="shared" si="46"/>
        <v>182.5</v>
      </c>
      <c r="H118" s="21">
        <f t="shared" si="52"/>
        <v>2.1598625125385899E-2</v>
      </c>
      <c r="I118">
        <v>953743.5</v>
      </c>
      <c r="J118" s="33">
        <f t="shared" si="47"/>
        <v>551.26374299999998</v>
      </c>
      <c r="K118" s="33">
        <f t="shared" si="48"/>
        <v>0.90806358799097053</v>
      </c>
      <c r="L118" s="33">
        <f t="shared" si="49"/>
        <v>2.2154333745559704E-5</v>
      </c>
      <c r="M118" s="33">
        <f t="shared" si="40"/>
        <v>2.4425761888496902E-2</v>
      </c>
      <c r="N118" s="34">
        <f t="shared" si="53"/>
        <v>5.8097569532413462E-2</v>
      </c>
      <c r="P118" s="33">
        <f t="shared" si="54"/>
        <v>9.1784070646765414</v>
      </c>
    </row>
    <row r="119" spans="1:16" x14ac:dyDescent="0.25">
      <c r="A119" s="6">
        <v>11</v>
      </c>
      <c r="C119" s="15">
        <v>4.9936638672265179</v>
      </c>
      <c r="D119" s="21">
        <f t="shared" si="50"/>
        <v>4.8680331933612901</v>
      </c>
      <c r="E119" s="21">
        <f t="shared" si="51"/>
        <v>4.9622091933612902</v>
      </c>
      <c r="F119" s="34">
        <v>7.3</v>
      </c>
      <c r="G119" s="21">
        <f t="shared" si="46"/>
        <v>182.5</v>
      </c>
      <c r="H119" s="21">
        <f t="shared" si="52"/>
        <v>2.7190187360883782E-2</v>
      </c>
      <c r="I119">
        <v>1041213</v>
      </c>
      <c r="J119" s="33">
        <f t="shared" si="47"/>
        <v>601.82111399999997</v>
      </c>
      <c r="K119" s="33">
        <f t="shared" si="48"/>
        <v>1.1431477211968937</v>
      </c>
      <c r="L119" s="33">
        <f t="shared" si="49"/>
        <v>2.3790180947753723E-5</v>
      </c>
      <c r="M119" s="33">
        <f t="shared" si="40"/>
        <v>2.8634866400477441E-2</v>
      </c>
      <c r="N119" s="34">
        <f t="shared" si="53"/>
        <v>6.8109078822084695E-2</v>
      </c>
      <c r="P119" s="33">
        <f t="shared" si="54"/>
        <v>10.020174978946704</v>
      </c>
    </row>
    <row r="120" spans="1:16" x14ac:dyDescent="0.25">
      <c r="A120" s="6">
        <v>12</v>
      </c>
      <c r="C120" s="14">
        <v>5.9411547690461646</v>
      </c>
      <c r="D120" s="21">
        <f t="shared" si="50"/>
        <v>5.8155240951809368</v>
      </c>
      <c r="E120" s="21">
        <f t="shared" si="51"/>
        <v>5.9097000951809369</v>
      </c>
      <c r="F120" s="34">
        <v>7.3</v>
      </c>
      <c r="G120" s="21">
        <f t="shared" si="46"/>
        <v>182.5</v>
      </c>
      <c r="H120" s="21">
        <f t="shared" si="52"/>
        <v>3.2381918329758556E-2</v>
      </c>
      <c r="I120">
        <v>1132266</v>
      </c>
      <c r="J120" s="33">
        <f t="shared" si="47"/>
        <v>654.44974799999989</v>
      </c>
      <c r="K120" s="33">
        <f t="shared" si="48"/>
        <v>1.3614218855991074</v>
      </c>
      <c r="L120" s="33">
        <f t="shared" si="49"/>
        <v>2.4896511010106995E-5</v>
      </c>
      <c r="M120" s="33">
        <f t="shared" si="40"/>
        <v>3.2587030713287488E-2</v>
      </c>
      <c r="N120" s="34">
        <f t="shared" si="53"/>
        <v>7.7509446434574122E-2</v>
      </c>
      <c r="P120" s="33">
        <f t="shared" si="54"/>
        <v>10.896428917725833</v>
      </c>
    </row>
    <row r="121" spans="1:16" x14ac:dyDescent="0.25">
      <c r="A121" s="6">
        <v>13</v>
      </c>
      <c r="C121" s="13">
        <v>7.9531631673665508</v>
      </c>
      <c r="D121" s="21">
        <f t="shared" si="50"/>
        <v>7.8275324935013231</v>
      </c>
      <c r="E121" s="21">
        <f t="shared" si="51"/>
        <v>7.9217084935013231</v>
      </c>
      <c r="F121" s="34">
        <v>7.3</v>
      </c>
      <c r="G121" s="21">
        <f t="shared" si="46"/>
        <v>182.5</v>
      </c>
      <c r="H121" s="21">
        <f t="shared" si="52"/>
        <v>4.3406621882199029E-2</v>
      </c>
      <c r="I121">
        <v>1383074</v>
      </c>
      <c r="J121" s="33">
        <f>(I121*$E$4)/1000</f>
        <v>799.41677200000004</v>
      </c>
      <c r="K121" s="33">
        <f t="shared" si="48"/>
        <v>1.8249297156692414</v>
      </c>
      <c r="L121" s="33">
        <f t="shared" si="49"/>
        <v>2.6080548547065296E-5</v>
      </c>
      <c r="M121" s="33">
        <f t="shared" si="40"/>
        <v>4.1698455862968456E-2</v>
      </c>
      <c r="N121" s="34">
        <f t="shared" si="53"/>
        <v>9.9181304966129868E-2</v>
      </c>
      <c r="P121" s="33">
        <f t="shared" si="54"/>
        <v>13.310094561661961</v>
      </c>
    </row>
    <row r="122" spans="1:16" x14ac:dyDescent="0.25">
      <c r="A122" s="6">
        <v>14</v>
      </c>
      <c r="C122" s="12">
        <v>11.896454509098184</v>
      </c>
      <c r="D122" s="21">
        <f t="shared" si="50"/>
        <v>11.770823835232957</v>
      </c>
      <c r="E122" s="21">
        <f t="shared" si="51"/>
        <v>11.864999835232956</v>
      </c>
      <c r="F122" s="34">
        <v>7.3</v>
      </c>
      <c r="G122" s="21">
        <f t="shared" si="46"/>
        <v>182.5</v>
      </c>
      <c r="H122" s="21">
        <f t="shared" si="52"/>
        <v>6.5013697727303865E-2</v>
      </c>
      <c r="I122" s="29">
        <v>1617257.7099999995</v>
      </c>
      <c r="J122" s="33">
        <f t="shared" si="47"/>
        <v>934.77495637999959</v>
      </c>
      <c r="K122" s="33">
        <f t="shared" si="48"/>
        <v>2.7333485943708258</v>
      </c>
      <c r="L122" s="33">
        <f t="shared" si="49"/>
        <v>2.9517138618999819E-5</v>
      </c>
      <c r="M122" s="33">
        <f t="shared" si="40"/>
        <v>5.5183763930075916E-2</v>
      </c>
      <c r="N122" s="34">
        <f t="shared" si="53"/>
        <v>0.13125660426165592</v>
      </c>
      <c r="P122" s="33">
        <f t="shared" si="54"/>
        <v>15.563775366088054</v>
      </c>
    </row>
    <row r="123" spans="1:16" x14ac:dyDescent="0.25">
      <c r="A123" s="6">
        <v>15</v>
      </c>
      <c r="C123" s="11">
        <v>15.773354129174203</v>
      </c>
      <c r="D123" s="21">
        <f t="shared" si="50"/>
        <v>15.647723455308975</v>
      </c>
      <c r="E123" s="21">
        <f t="shared" si="51"/>
        <v>15.741899455308975</v>
      </c>
      <c r="F123" s="34">
        <v>7.3</v>
      </c>
      <c r="G123" s="21">
        <f t="shared" si="46"/>
        <v>182.5</v>
      </c>
      <c r="H123" s="21">
        <f t="shared" si="52"/>
        <v>8.6256983316761501E-2</v>
      </c>
      <c r="I123" s="28">
        <v>1739266.5099999988</v>
      </c>
      <c r="J123" s="33">
        <f t="shared" si="47"/>
        <v>1005.2960427799992</v>
      </c>
      <c r="K123" s="33">
        <f t="shared" si="48"/>
        <v>3.6264727641313828</v>
      </c>
      <c r="L123" s="33">
        <f t="shared" si="49"/>
        <v>3.2785023666014907E-5</v>
      </c>
      <c r="M123" s="33">
        <f t="shared" si="40"/>
        <v>6.5917309107786815E-2</v>
      </c>
      <c r="N123" s="34">
        <f t="shared" si="53"/>
        <v>0.15678673470909288</v>
      </c>
      <c r="P123" s="33">
        <f t="shared" si="54"/>
        <v>16.737934279750586</v>
      </c>
    </row>
    <row r="124" spans="1:16" x14ac:dyDescent="0.25">
      <c r="A124" s="6">
        <v>16</v>
      </c>
      <c r="C124" s="10">
        <v>20.080845030994087</v>
      </c>
      <c r="D124" s="21">
        <f t="shared" si="50"/>
        <v>19.95521435712886</v>
      </c>
      <c r="E124" s="21">
        <f t="shared" si="51"/>
        <v>20.049390357128861</v>
      </c>
      <c r="F124" s="34">
        <v>7.3</v>
      </c>
      <c r="G124" s="21">
        <f t="shared" si="46"/>
        <v>182.5</v>
      </c>
      <c r="H124" s="21">
        <f t="shared" si="52"/>
        <v>0.10985967318974718</v>
      </c>
      <c r="I124" s="27">
        <v>1903732.5999999989</v>
      </c>
      <c r="J124" s="33">
        <f t="shared" si="47"/>
        <v>1100.3574427999995</v>
      </c>
      <c r="K124" s="33">
        <f t="shared" si="48"/>
        <v>4.6187925589275149</v>
      </c>
      <c r="L124" s="33">
        <f t="shared" si="49"/>
        <v>3.5365321782382672E-5</v>
      </c>
      <c r="M124" s="33">
        <f t="shared" si="40"/>
        <v>7.7828990080523436E-2</v>
      </c>
      <c r="N124" s="34">
        <f t="shared" si="53"/>
        <v>0.18511910430806952</v>
      </c>
      <c r="P124" s="33">
        <f t="shared" si="54"/>
        <v>18.320683438571308</v>
      </c>
    </row>
    <row r="125" spans="1:16" x14ac:dyDescent="0.25">
      <c r="A125" s="6">
        <v>17</v>
      </c>
      <c r="C125" s="9">
        <v>24.164240351929173</v>
      </c>
      <c r="D125" s="21">
        <f t="shared" si="50"/>
        <v>24.038609678063946</v>
      </c>
      <c r="E125" s="21">
        <f t="shared" si="51"/>
        <v>24.132785678063946</v>
      </c>
      <c r="F125" s="34">
        <v>7.3</v>
      </c>
      <c r="G125" s="21">
        <f t="shared" si="46"/>
        <v>182.5</v>
      </c>
      <c r="H125" s="21">
        <f t="shared" si="52"/>
        <v>0.13223444207158327</v>
      </c>
      <c r="I125" s="26">
        <v>2108587.5999999987</v>
      </c>
      <c r="J125" s="33">
        <f t="shared" si="47"/>
        <v>1218.7636327999992</v>
      </c>
      <c r="K125" s="33">
        <f t="shared" si="48"/>
        <v>5.5594872926598207</v>
      </c>
      <c r="L125" s="33">
        <f t="shared" si="49"/>
        <v>3.6867009051061527E-5</v>
      </c>
      <c r="M125" s="33">
        <f t="shared" si="40"/>
        <v>8.9864339763084389E-2</v>
      </c>
      <c r="N125" s="34">
        <f t="shared" si="53"/>
        <v>0.21374562446418344</v>
      </c>
      <c r="P125" s="33">
        <f t="shared" si="54"/>
        <v>20.292117665105287</v>
      </c>
    </row>
    <row r="126" spans="1:16" x14ac:dyDescent="0.25">
      <c r="A126" s="6">
        <v>18</v>
      </c>
      <c r="C126" s="8">
        <v>27.544631273745711</v>
      </c>
      <c r="D126" s="21">
        <f t="shared" si="50"/>
        <v>27.419000599880484</v>
      </c>
      <c r="E126" s="21">
        <f t="shared" si="51"/>
        <v>27.513176599880484</v>
      </c>
      <c r="F126" s="34">
        <v>7.3</v>
      </c>
      <c r="G126" s="21">
        <f t="shared" si="46"/>
        <v>182.5</v>
      </c>
      <c r="H126" s="21">
        <f t="shared" si="52"/>
        <v>0.15075713205413965</v>
      </c>
      <c r="I126" s="25">
        <v>2173678.8499999992</v>
      </c>
      <c r="J126" s="33">
        <f t="shared" si="47"/>
        <v>1256.3863752999996</v>
      </c>
      <c r="K126" s="33">
        <f t="shared" si="48"/>
        <v>6.3382303944619558</v>
      </c>
      <c r="L126" s="33">
        <f t="shared" si="49"/>
        <v>3.8770614078843557E-5</v>
      </c>
      <c r="M126" s="33">
        <f t="shared" si="40"/>
        <v>9.7421742581346782E-2</v>
      </c>
      <c r="N126" s="34">
        <f t="shared" si="53"/>
        <v>0.23172118394612662</v>
      </c>
      <c r="P126" s="33">
        <f t="shared" si="54"/>
        <v>20.918527164985111</v>
      </c>
    </row>
    <row r="127" spans="1:16" x14ac:dyDescent="0.25">
      <c r="A127" s="6">
        <v>19</v>
      </c>
      <c r="C127" s="7">
        <v>31.751644671066</v>
      </c>
      <c r="D127" s="21">
        <f t="shared" si="50"/>
        <v>31.626013997200772</v>
      </c>
      <c r="E127" s="21">
        <f t="shared" si="51"/>
        <v>31.720189997200773</v>
      </c>
      <c r="F127" s="34">
        <v>7.3</v>
      </c>
      <c r="G127" s="21">
        <f t="shared" si="46"/>
        <v>182.5</v>
      </c>
      <c r="H127" s="21">
        <f t="shared" si="52"/>
        <v>0.17380926025863438</v>
      </c>
      <c r="I127" s="24">
        <v>2286041.2399999988</v>
      </c>
      <c r="J127" s="33">
        <f t="shared" si="47"/>
        <v>1321.3318367199993</v>
      </c>
      <c r="K127" s="33">
        <f t="shared" si="48"/>
        <v>7.3074031138679709</v>
      </c>
      <c r="L127" s="33">
        <f t="shared" si="49"/>
        <v>4.059344047838968E-5</v>
      </c>
      <c r="M127" s="33">
        <f t="shared" si="40"/>
        <v>0.10727481053218921</v>
      </c>
      <c r="N127" s="34">
        <f t="shared" si="53"/>
        <v>0.25515706705162955</v>
      </c>
      <c r="P127" s="33">
        <f t="shared" si="54"/>
        <v>21.999853280633534</v>
      </c>
    </row>
    <row r="128" spans="1:16" x14ac:dyDescent="0.25">
      <c r="A128" s="6">
        <v>20</v>
      </c>
      <c r="C128">
        <v>36.10371</v>
      </c>
      <c r="D128" s="21">
        <f t="shared" si="50"/>
        <v>35.978079326134775</v>
      </c>
      <c r="E128" s="21">
        <f t="shared" si="51"/>
        <v>36.072255326134773</v>
      </c>
      <c r="F128" s="34">
        <v>7.3</v>
      </c>
      <c r="G128" s="21">
        <f t="shared" si="46"/>
        <v>182.5</v>
      </c>
      <c r="H128" s="21">
        <f t="shared" si="52"/>
        <v>0.19765619356786177</v>
      </c>
      <c r="I128" s="23">
        <v>2401927.4499999993</v>
      </c>
      <c r="J128" s="33">
        <f>(I128*$E$4)/1000</f>
        <v>1388.3140660999995</v>
      </c>
      <c r="K128" s="33">
        <f t="shared" si="48"/>
        <v>8.3099915516804685</v>
      </c>
      <c r="L128" s="33">
        <f t="shared" si="49"/>
        <v>4.2231519443350247E-5</v>
      </c>
      <c r="M128" s="33">
        <f t="shared" si="40"/>
        <v>0.11726122495195754</v>
      </c>
      <c r="N128" s="34">
        <f>(M128/$E$11)*100</f>
        <v>0.27891011961885448</v>
      </c>
      <c r="P128" s="33">
        <f t="shared" si="54"/>
        <v>23.115091086775958</v>
      </c>
    </row>
    <row r="129" spans="1:24" x14ac:dyDescent="0.25">
      <c r="A129" s="6">
        <v>21</v>
      </c>
      <c r="C129">
        <v>39.7742</v>
      </c>
      <c r="D129" s="21">
        <f t="shared" si="50"/>
        <v>39.648569326134776</v>
      </c>
      <c r="E129" s="21">
        <f t="shared" si="51"/>
        <v>39.742745326134774</v>
      </c>
      <c r="F129" s="34">
        <v>7.3</v>
      </c>
      <c r="G129" s="21">
        <f t="shared" si="46"/>
        <v>182.5</v>
      </c>
      <c r="H129" s="21">
        <f t="shared" si="52"/>
        <v>0.2177684675404645</v>
      </c>
      <c r="I129" s="22">
        <v>2400383.1099999989</v>
      </c>
      <c r="J129" s="33">
        <f t="shared" si="47"/>
        <v>1387.4214375799993</v>
      </c>
      <c r="K129" s="33">
        <f t="shared" si="48"/>
        <v>9.1555649879615313</v>
      </c>
      <c r="L129" s="33">
        <f t="shared" si="49"/>
        <v>4.4342344575321587E-5</v>
      </c>
      <c r="M129" s="33">
        <f t="shared" si="40"/>
        <v>0.12304303891272073</v>
      </c>
      <c r="N129" s="34">
        <f t="shared" si="53"/>
        <v>0.29266237595142408</v>
      </c>
      <c r="P129" s="33">
        <f t="shared" si="54"/>
        <v>23.100229039311134</v>
      </c>
    </row>
    <row r="130" spans="1:24" x14ac:dyDescent="0.25">
      <c r="A130" s="6">
        <v>22</v>
      </c>
      <c r="C130">
        <v>45.477110000000003</v>
      </c>
      <c r="D130" s="21">
        <f>C130-$C$113</f>
        <v>45.351479326134779</v>
      </c>
      <c r="E130" s="21">
        <f t="shared" si="51"/>
        <v>45.445655326134776</v>
      </c>
      <c r="F130" s="34">
        <v>7.3</v>
      </c>
      <c r="G130" s="21">
        <f>F130*$E$3</f>
        <v>182.5</v>
      </c>
      <c r="H130" s="21">
        <f>E130/G130</f>
        <v>0.24901728945827276</v>
      </c>
      <c r="I130" s="6">
        <v>2493630.0999999992</v>
      </c>
      <c r="J130" s="33">
        <f t="shared" si="47"/>
        <v>1441.3181977999996</v>
      </c>
      <c r="K130" s="33">
        <f>E130*($E$11/G130)</f>
        <v>10.469348489756017</v>
      </c>
      <c r="L130" s="33">
        <f>SQRT((4*$E$6*K130)/(2*3.14*$E$7*J130))</f>
        <v>4.6522192188446682E-5</v>
      </c>
      <c r="M130" s="33">
        <f>2*L130*J130</f>
        <v>0.13410656440551438</v>
      </c>
      <c r="N130" s="34">
        <f t="shared" si="53"/>
        <v>0.31897737666769294</v>
      </c>
      <c r="P130" s="33">
        <f>(J130/$E$12)*100</f>
        <v>23.997596970810356</v>
      </c>
    </row>
    <row r="131" spans="1:24" x14ac:dyDescent="0.25">
      <c r="A131" s="40" t="s">
        <v>40</v>
      </c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</row>
    <row r="132" spans="1:24" s="41" customFormat="1" x14ac:dyDescent="0.25">
      <c r="A132" s="45" t="s">
        <v>32</v>
      </c>
      <c r="B132" s="45"/>
      <c r="C132" s="43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</row>
    <row r="133" spans="1:24" s="41" customFormat="1" x14ac:dyDescent="0.25"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</row>
    <row r="134" spans="1:24" x14ac:dyDescent="0.25">
      <c r="A134" s="38" t="s">
        <v>29</v>
      </c>
      <c r="B134" s="38"/>
      <c r="C134" s="41"/>
      <c r="D134" s="41"/>
      <c r="E134" s="41"/>
      <c r="F134" s="41"/>
      <c r="G134" s="41"/>
      <c r="H134" s="41"/>
      <c r="I134" s="2"/>
      <c r="J134" s="41"/>
      <c r="K134" s="41"/>
      <c r="L134" s="41"/>
      <c r="M134" s="41"/>
      <c r="N134" s="41"/>
      <c r="O134" s="41"/>
      <c r="P134" s="41"/>
    </row>
    <row r="135" spans="1:24" s="41" customFormat="1" ht="18.75" x14ac:dyDescent="0.35">
      <c r="A135" s="38" t="s">
        <v>0</v>
      </c>
      <c r="B135" s="38"/>
      <c r="C135" s="38" t="s">
        <v>1</v>
      </c>
      <c r="D135" s="38" t="s">
        <v>2</v>
      </c>
      <c r="E135" s="38" t="s">
        <v>3</v>
      </c>
      <c r="F135" s="38" t="s">
        <v>5</v>
      </c>
      <c r="G135" s="38" t="s">
        <v>6</v>
      </c>
      <c r="H135" s="38" t="s">
        <v>7</v>
      </c>
      <c r="I135" s="38" t="s">
        <v>4</v>
      </c>
      <c r="J135" s="38" t="s">
        <v>21</v>
      </c>
      <c r="K135" s="38" t="s">
        <v>16</v>
      </c>
      <c r="L135" s="38" t="s">
        <v>17</v>
      </c>
      <c r="M135" s="38" t="s">
        <v>18</v>
      </c>
      <c r="N135" s="38" t="s">
        <v>19</v>
      </c>
      <c r="P135" s="38" t="s">
        <v>23</v>
      </c>
    </row>
    <row r="136" spans="1:24" s="41" customFormat="1" x14ac:dyDescent="0.25">
      <c r="A136" s="41">
        <v>0</v>
      </c>
      <c r="C136" s="41">
        <v>-2.250849830033979E-2</v>
      </c>
      <c r="D136" s="41">
        <f>C136-$C$136</f>
        <v>0</v>
      </c>
      <c r="E136" s="41">
        <f t="shared" ref="E136:E151" si="55">D136+($E$2*9.81)</f>
        <v>9.4175999999999996E-2</v>
      </c>
      <c r="F136" s="41">
        <v>6</v>
      </c>
      <c r="G136" s="41">
        <f t="shared" ref="G136:G151" si="56">F136*$E$3</f>
        <v>150</v>
      </c>
      <c r="H136" s="41">
        <f t="shared" ref="H136:H151" si="57">E136/G136</f>
        <v>6.2783999999999995E-4</v>
      </c>
      <c r="I136" s="41">
        <v>107215.25</v>
      </c>
      <c r="J136" s="41">
        <f t="shared" ref="J136:J151" si="58">(I136*$E$4)/1000</f>
        <v>61.970414499999997</v>
      </c>
      <c r="K136" s="41">
        <f t="shared" ref="K136:K151" si="59">E136*($E$11/G136)</f>
        <v>2.6396061775902726E-2</v>
      </c>
      <c r="L136" s="41">
        <f t="shared" ref="L136:L151" si="60">SQRT((4*$E$6*K136)/(2*3.14*$E$7*J136))</f>
        <v>1.1265686082349454E-5</v>
      </c>
      <c r="M136" s="41">
        <f t="shared" ref="M136:M151" si="61">2*L136*J136</f>
        <v>1.3962784723001536E-3</v>
      </c>
      <c r="N136" s="41">
        <f t="shared" ref="N136:N151" si="62">(M136/$E$11)*100</f>
        <v>3.3210995014764776E-3</v>
      </c>
      <c r="P136" s="41">
        <f t="shared" ref="P136:P151" si="63">(J136/$E$12)*100</f>
        <v>1.0317923089814627</v>
      </c>
    </row>
    <row r="137" spans="1:24" x14ac:dyDescent="0.25">
      <c r="A137" s="41">
        <v>2</v>
      </c>
      <c r="C137">
        <v>2.2012487502499645</v>
      </c>
      <c r="D137" s="41">
        <f t="shared" ref="D137:D151" si="64">C137-$C$136</f>
        <v>2.2237572485503043</v>
      </c>
      <c r="E137" s="41">
        <f t="shared" si="55"/>
        <v>2.3179332485503044</v>
      </c>
      <c r="F137" s="41">
        <v>6</v>
      </c>
      <c r="G137" s="41">
        <f t="shared" si="56"/>
        <v>150</v>
      </c>
      <c r="H137" s="41">
        <f t="shared" si="57"/>
        <v>1.5452888323668696E-2</v>
      </c>
      <c r="I137">
        <v>618656.54</v>
      </c>
      <c r="J137" s="41">
        <f t="shared" si="58"/>
        <v>357.58348012000005</v>
      </c>
      <c r="K137" s="41">
        <f t="shared" si="59"/>
        <v>0.64968048357493124</v>
      </c>
      <c r="L137" s="41">
        <f t="shared" si="60"/>
        <v>2.3267057597048329E-5</v>
      </c>
      <c r="M137" s="41">
        <f t="shared" si="61"/>
        <v>1.6639830855410053E-2</v>
      </c>
      <c r="N137" s="41">
        <f t="shared" si="62"/>
        <v>3.9578447318978381E-2</v>
      </c>
      <c r="P137" s="41">
        <f t="shared" si="63"/>
        <v>5.9536778571432958</v>
      </c>
    </row>
    <row r="138" spans="1:24" x14ac:dyDescent="0.25">
      <c r="A138" s="41">
        <v>4</v>
      </c>
      <c r="C138">
        <v>2.7650115976804694</v>
      </c>
      <c r="D138" s="41">
        <f t="shared" si="64"/>
        <v>2.7875200959808093</v>
      </c>
      <c r="E138" s="41">
        <f t="shared" si="55"/>
        <v>2.8816960959808093</v>
      </c>
      <c r="F138" s="41">
        <v>6</v>
      </c>
      <c r="G138" s="41">
        <f t="shared" si="56"/>
        <v>150</v>
      </c>
      <c r="H138" s="41">
        <f t="shared" si="57"/>
        <v>1.9211307306538729E-2</v>
      </c>
      <c r="I138">
        <v>737339.16</v>
      </c>
      <c r="J138" s="41">
        <f t="shared" si="58"/>
        <v>426.18203447999997</v>
      </c>
      <c r="K138" s="41">
        <f t="shared" si="59"/>
        <v>0.80769440376409229</v>
      </c>
      <c r="L138" s="41">
        <f t="shared" si="60"/>
        <v>2.3763272363321169E-5</v>
      </c>
      <c r="M138" s="41">
        <f t="shared" si="61"/>
        <v>2.0254959523405145E-2</v>
      </c>
      <c r="N138" s="41">
        <f t="shared" si="62"/>
        <v>4.8177163302383502E-2</v>
      </c>
      <c r="P138" s="41">
        <f t="shared" si="63"/>
        <v>7.0958270805585224</v>
      </c>
    </row>
    <row r="139" spans="1:24" x14ac:dyDescent="0.25">
      <c r="A139" s="41">
        <v>6</v>
      </c>
      <c r="C139">
        <v>3.5595588882223708</v>
      </c>
      <c r="D139" s="41">
        <f t="shared" si="64"/>
        <v>3.5820673865227106</v>
      </c>
      <c r="E139" s="41">
        <f t="shared" si="55"/>
        <v>3.6762433865227107</v>
      </c>
      <c r="F139" s="41">
        <v>6</v>
      </c>
      <c r="G139" s="41">
        <f t="shared" si="56"/>
        <v>150</v>
      </c>
      <c r="H139" s="41">
        <f t="shared" si="57"/>
        <v>2.4508289243484738E-2</v>
      </c>
      <c r="I139">
        <v>825660.05</v>
      </c>
      <c r="J139" s="41">
        <f t="shared" si="58"/>
        <v>477.23150889999999</v>
      </c>
      <c r="K139" s="41">
        <f t="shared" si="59"/>
        <v>1.0303935985166848</v>
      </c>
      <c r="L139" s="41">
        <f t="shared" si="60"/>
        <v>2.5363973975654635E-5</v>
      </c>
      <c r="M139" s="41">
        <f t="shared" si="61"/>
        <v>2.4208975144203986E-2</v>
      </c>
      <c r="N139" s="41">
        <f t="shared" si="62"/>
        <v>5.758193431875018E-2</v>
      </c>
      <c r="P139" s="41">
        <f t="shared" si="63"/>
        <v>7.9457883969234784</v>
      </c>
    </row>
    <row r="140" spans="1:24" x14ac:dyDescent="0.25">
      <c r="A140" s="41">
        <v>8</v>
      </c>
      <c r="C140">
        <v>4.9384741051789405</v>
      </c>
      <c r="D140" s="41">
        <f t="shared" si="64"/>
        <v>4.9609826034792803</v>
      </c>
      <c r="E140" s="41">
        <f t="shared" si="55"/>
        <v>5.0551586034792804</v>
      </c>
      <c r="F140" s="41">
        <v>6</v>
      </c>
      <c r="G140" s="41">
        <f t="shared" si="56"/>
        <v>150</v>
      </c>
      <c r="H140" s="41">
        <f t="shared" si="57"/>
        <v>3.3701057356528535E-2</v>
      </c>
      <c r="I140">
        <v>997032.67</v>
      </c>
      <c r="J140" s="41">
        <f t="shared" si="58"/>
        <v>576.28488326000002</v>
      </c>
      <c r="K140" s="41">
        <f t="shared" si="59"/>
        <v>1.4168819952474647</v>
      </c>
      <c r="L140" s="41">
        <f t="shared" si="60"/>
        <v>2.7066275929310187E-5</v>
      </c>
      <c r="M140" s="41">
        <f t="shared" si="61"/>
        <v>3.1195771328410938E-2</v>
      </c>
      <c r="N140" s="41">
        <f t="shared" si="62"/>
        <v>7.4200285016417747E-2</v>
      </c>
      <c r="P140" s="41">
        <f t="shared" si="63"/>
        <v>9.5950029562888943</v>
      </c>
    </row>
    <row r="141" spans="1:24" x14ac:dyDescent="0.25">
      <c r="A141" s="41">
        <v>10</v>
      </c>
      <c r="C141">
        <v>7.8468546290742074</v>
      </c>
      <c r="D141" s="41">
        <f t="shared" si="64"/>
        <v>7.8693631273745472</v>
      </c>
      <c r="E141" s="41">
        <f t="shared" si="55"/>
        <v>7.9635391273745473</v>
      </c>
      <c r="F141" s="41">
        <v>6</v>
      </c>
      <c r="G141" s="41">
        <f t="shared" si="56"/>
        <v>150</v>
      </c>
      <c r="H141" s="41">
        <f t="shared" si="57"/>
        <v>5.3090260849163649E-2</v>
      </c>
      <c r="I141">
        <v>1295821.2999999998</v>
      </c>
      <c r="J141" s="41">
        <f t="shared" si="58"/>
        <v>748.98471139999981</v>
      </c>
      <c r="K141" s="41">
        <f t="shared" si="59"/>
        <v>2.2320556273466385</v>
      </c>
      <c r="L141" s="41">
        <f t="shared" si="60"/>
        <v>2.9798630738867753E-5</v>
      </c>
      <c r="M141" s="41">
        <f t="shared" si="61"/>
        <v>4.4637437688132053E-2</v>
      </c>
      <c r="N141" s="41">
        <f t="shared" si="62"/>
        <v>0.10617178091203491</v>
      </c>
      <c r="P141" s="41">
        <f t="shared" si="63"/>
        <v>12.47041303503336</v>
      </c>
    </row>
    <row r="142" spans="1:24" x14ac:dyDescent="0.25">
      <c r="A142" s="41">
        <v>11</v>
      </c>
      <c r="C142">
        <v>11.840601279744112</v>
      </c>
      <c r="D142" s="41">
        <f t="shared" si="64"/>
        <v>11.863109778044452</v>
      </c>
      <c r="E142" s="41">
        <f t="shared" si="55"/>
        <v>11.957285778044451</v>
      </c>
      <c r="F142" s="41">
        <v>6</v>
      </c>
      <c r="G142" s="41">
        <f t="shared" si="56"/>
        <v>150</v>
      </c>
      <c r="H142" s="41">
        <f t="shared" si="57"/>
        <v>7.9715238520296341E-2</v>
      </c>
      <c r="I142">
        <v>1610263.19</v>
      </c>
      <c r="J142" s="41">
        <f t="shared" si="58"/>
        <v>930.73212381999986</v>
      </c>
      <c r="K142" s="41">
        <f t="shared" si="59"/>
        <v>3.351440431419729</v>
      </c>
      <c r="L142" s="41">
        <f t="shared" si="60"/>
        <v>3.2755458161370198E-5</v>
      </c>
      <c r="M142" s="41">
        <f t="shared" si="61"/>
        <v>6.0973114282458468E-2</v>
      </c>
      <c r="N142" s="41">
        <f t="shared" si="62"/>
        <v>0.14502678617780107</v>
      </c>
      <c r="P142" s="41">
        <f t="shared" si="63"/>
        <v>15.496463188566509</v>
      </c>
    </row>
    <row r="143" spans="1:24" x14ac:dyDescent="0.25">
      <c r="A143" s="41">
        <v>12</v>
      </c>
      <c r="C143" s="41">
        <v>15.774305138972217</v>
      </c>
      <c r="D143" s="41">
        <f t="shared" si="64"/>
        <v>15.796813637272557</v>
      </c>
      <c r="E143" s="41">
        <f t="shared" si="55"/>
        <v>15.890989637272556</v>
      </c>
      <c r="F143" s="41">
        <v>6</v>
      </c>
      <c r="G143" s="41">
        <f t="shared" si="56"/>
        <v>150</v>
      </c>
      <c r="H143" s="41">
        <f t="shared" si="57"/>
        <v>0.10593993091515037</v>
      </c>
      <c r="I143">
        <v>1837384.9399999995</v>
      </c>
      <c r="J143" s="41">
        <f t="shared" si="58"/>
        <v>1062.0084953199996</v>
      </c>
      <c r="K143" s="41">
        <f t="shared" si="59"/>
        <v>4.453996178916884</v>
      </c>
      <c r="L143" s="41">
        <f t="shared" si="60"/>
        <v>3.5350145249029315E-5</v>
      </c>
      <c r="M143" s="41">
        <f t="shared" si="61"/>
        <v>7.5084309130530116E-2</v>
      </c>
      <c r="N143" s="41">
        <f t="shared" si="62"/>
        <v>0.1785907801123103</v>
      </c>
      <c r="P143" s="41">
        <f t="shared" si="63"/>
        <v>17.682182802636433</v>
      </c>
    </row>
    <row r="144" spans="1:24" x14ac:dyDescent="0.25">
      <c r="A144" s="41">
        <v>13</v>
      </c>
      <c r="C144">
        <v>19.874247150569836</v>
      </c>
      <c r="D144" s="41">
        <f t="shared" si="64"/>
        <v>19.896755648870176</v>
      </c>
      <c r="E144" s="41">
        <f t="shared" si="55"/>
        <v>19.990931648870177</v>
      </c>
      <c r="F144" s="41">
        <v>6</v>
      </c>
      <c r="G144" s="41">
        <f t="shared" si="56"/>
        <v>150</v>
      </c>
      <c r="H144" s="41">
        <f t="shared" si="57"/>
        <v>0.13327287765913451</v>
      </c>
      <c r="I144">
        <v>2099455.5699999989</v>
      </c>
      <c r="J144" s="41">
        <f t="shared" si="58"/>
        <v>1213.4853194599991</v>
      </c>
      <c r="K144" s="41">
        <f t="shared" si="59"/>
        <v>5.6031458838921395</v>
      </c>
      <c r="L144" s="41">
        <f t="shared" si="60"/>
        <v>3.7091891400996895E-5</v>
      </c>
      <c r="M144" s="41">
        <f t="shared" si="61"/>
        <v>9.0020931372228621E-2</v>
      </c>
      <c r="N144" s="41">
        <f t="shared" si="62"/>
        <v>0.21411808334354121</v>
      </c>
      <c r="P144" s="41">
        <f t="shared" si="63"/>
        <v>20.204235033489091</v>
      </c>
    </row>
    <row r="145" spans="1:16" x14ac:dyDescent="0.25">
      <c r="A145" s="41">
        <v>14</v>
      </c>
      <c r="C145">
        <v>23.913654269146257</v>
      </c>
      <c r="D145" s="41">
        <f t="shared" si="64"/>
        <v>23.936162767446596</v>
      </c>
      <c r="E145" s="41">
        <f t="shared" si="55"/>
        <v>24.030338767446597</v>
      </c>
      <c r="F145" s="41">
        <v>6</v>
      </c>
      <c r="G145" s="41">
        <f t="shared" si="56"/>
        <v>150</v>
      </c>
      <c r="H145" s="41">
        <f t="shared" si="57"/>
        <v>0.16020225844964397</v>
      </c>
      <c r="I145">
        <v>2258332.7999999993</v>
      </c>
      <c r="J145" s="41">
        <f t="shared" si="58"/>
        <v>1305.3163583999997</v>
      </c>
      <c r="K145" s="41">
        <f t="shared" si="59"/>
        <v>6.7353286039053533</v>
      </c>
      <c r="L145" s="41">
        <f t="shared" si="60"/>
        <v>3.9210445988221403E-5</v>
      </c>
      <c r="M145" s="41">
        <f t="shared" si="61"/>
        <v>0.10236407313717008</v>
      </c>
      <c r="N145" s="41">
        <f t="shared" si="62"/>
        <v>0.2434766982440999</v>
      </c>
      <c r="P145" s="41">
        <f t="shared" si="63"/>
        <v>21.733199467058757</v>
      </c>
    </row>
    <row r="146" spans="1:16" x14ac:dyDescent="0.25">
      <c r="A146" s="41">
        <v>15</v>
      </c>
      <c r="C146">
        <v>27.821736652669603</v>
      </c>
      <c r="D146" s="41">
        <f t="shared" si="64"/>
        <v>27.844245150969943</v>
      </c>
      <c r="E146" s="41">
        <f t="shared" si="55"/>
        <v>27.938421150969944</v>
      </c>
      <c r="F146" s="41">
        <v>6</v>
      </c>
      <c r="G146" s="41">
        <f t="shared" si="56"/>
        <v>150</v>
      </c>
      <c r="H146" s="41">
        <f t="shared" si="57"/>
        <v>0.18625614100646629</v>
      </c>
      <c r="I146">
        <v>2374806.6999999993</v>
      </c>
      <c r="J146" s="41">
        <f t="shared" si="58"/>
        <v>1372.6382725999995</v>
      </c>
      <c r="K146" s="41">
        <f t="shared" si="59"/>
        <v>7.8307030519685483</v>
      </c>
      <c r="L146" s="41">
        <f t="shared" si="60"/>
        <v>4.1228981246371346E-5</v>
      </c>
      <c r="M146" s="41">
        <f t="shared" si="61"/>
        <v>0.11318495519815387</v>
      </c>
      <c r="N146" s="41">
        <f t="shared" si="62"/>
        <v>0.26921456266814131</v>
      </c>
      <c r="P146" s="41">
        <f t="shared" si="63"/>
        <v>22.8540929427264</v>
      </c>
    </row>
    <row r="147" spans="1:16" x14ac:dyDescent="0.25">
      <c r="A147" s="41">
        <v>16</v>
      </c>
      <c r="C147">
        <v>31.949694661068065</v>
      </c>
      <c r="D147" s="41">
        <f t="shared" si="64"/>
        <v>31.972203159368405</v>
      </c>
      <c r="E147" s="41">
        <f t="shared" si="55"/>
        <v>32.066379159368402</v>
      </c>
      <c r="F147" s="41">
        <v>6</v>
      </c>
      <c r="G147" s="41">
        <f t="shared" si="56"/>
        <v>150</v>
      </c>
      <c r="H147" s="41">
        <f t="shared" si="57"/>
        <v>0.21377586106245602</v>
      </c>
      <c r="I147">
        <v>2532622.439999999</v>
      </c>
      <c r="J147" s="41">
        <f t="shared" si="58"/>
        <v>1463.8557703199995</v>
      </c>
      <c r="K147" s="41">
        <f t="shared" si="59"/>
        <v>8.9877052032387024</v>
      </c>
      <c r="L147" s="41">
        <f t="shared" si="60"/>
        <v>4.277160456550914E-5</v>
      </c>
      <c r="M147" s="41">
        <f t="shared" si="61"/>
        <v>0.12522292029813156</v>
      </c>
      <c r="N147" s="41">
        <f t="shared" si="62"/>
        <v>0.2978473036904013</v>
      </c>
      <c r="P147" s="41">
        <f t="shared" si="63"/>
        <v>24.372842064406555</v>
      </c>
    </row>
    <row r="148" spans="1:16" x14ac:dyDescent="0.25">
      <c r="A148" s="41">
        <v>17</v>
      </c>
      <c r="C148">
        <v>35.798801439711838</v>
      </c>
      <c r="D148" s="41">
        <f t="shared" si="64"/>
        <v>35.821309938012178</v>
      </c>
      <c r="E148" s="41">
        <f t="shared" si="55"/>
        <v>35.915485938012175</v>
      </c>
      <c r="F148" s="41">
        <v>6</v>
      </c>
      <c r="G148" s="41">
        <f t="shared" si="56"/>
        <v>150</v>
      </c>
      <c r="H148" s="41">
        <f t="shared" si="57"/>
        <v>0.23943657292008116</v>
      </c>
      <c r="I148">
        <v>2705781.3199999989</v>
      </c>
      <c r="J148" s="41">
        <f t="shared" si="58"/>
        <v>1563.9416029599993</v>
      </c>
      <c r="K148" s="41">
        <f t="shared" si="59"/>
        <v>10.066549710449955</v>
      </c>
      <c r="L148" s="41">
        <f t="shared" si="60"/>
        <v>4.3793568293242054E-5</v>
      </c>
      <c r="M148" s="41">
        <f t="shared" si="61"/>
        <v>0.13698116679174235</v>
      </c>
      <c r="N148" s="41">
        <f t="shared" si="62"/>
        <v>0.32581472375943593</v>
      </c>
      <c r="P148" s="41">
        <f t="shared" si="63"/>
        <v>26.039246802686268</v>
      </c>
    </row>
    <row r="149" spans="1:16" x14ac:dyDescent="0.25">
      <c r="A149" s="41">
        <v>18</v>
      </c>
      <c r="C149">
        <v>39.956301139772023</v>
      </c>
      <c r="D149" s="41">
        <f t="shared" si="64"/>
        <v>39.978809638072363</v>
      </c>
      <c r="E149" s="41">
        <f t="shared" si="55"/>
        <v>40.07298563807236</v>
      </c>
      <c r="F149" s="41">
        <v>6</v>
      </c>
      <c r="G149" s="41">
        <f t="shared" si="56"/>
        <v>150</v>
      </c>
      <c r="H149" s="41">
        <f t="shared" si="57"/>
        <v>0.26715323758714909</v>
      </c>
      <c r="I149">
        <v>2793754.5599999991</v>
      </c>
      <c r="J149" s="41">
        <f t="shared" si="58"/>
        <v>1614.7901356799994</v>
      </c>
      <c r="K149" s="41">
        <f t="shared" si="59"/>
        <v>11.231831936453244</v>
      </c>
      <c r="L149" s="41">
        <f t="shared" si="60"/>
        <v>4.5524746093787453E-5</v>
      </c>
      <c r="M149" s="41">
        <f t="shared" si="61"/>
        <v>0.14702582184316912</v>
      </c>
      <c r="N149" s="41">
        <f t="shared" si="62"/>
        <v>0.34970630380280815</v>
      </c>
      <c r="P149" s="41">
        <f t="shared" si="63"/>
        <v>26.885862488684108</v>
      </c>
    </row>
    <row r="150" spans="1:16" x14ac:dyDescent="0.25">
      <c r="A150" s="41">
        <v>19</v>
      </c>
      <c r="C150">
        <v>43.708264547090927</v>
      </c>
      <c r="D150" s="41">
        <f t="shared" si="64"/>
        <v>43.730773045391267</v>
      </c>
      <c r="E150" s="41">
        <f t="shared" si="55"/>
        <v>43.824949045391264</v>
      </c>
      <c r="F150" s="41">
        <v>6</v>
      </c>
      <c r="G150" s="41">
        <f t="shared" si="56"/>
        <v>150</v>
      </c>
      <c r="H150" s="41">
        <f t="shared" si="57"/>
        <v>0.29216632696927508</v>
      </c>
      <c r="I150">
        <v>2847510.9599999986</v>
      </c>
      <c r="J150" s="41">
        <f t="shared" si="58"/>
        <v>1645.861334879999</v>
      </c>
      <c r="K150" s="41">
        <f t="shared" si="59"/>
        <v>12.283448674056416</v>
      </c>
      <c r="L150" s="41">
        <f t="shared" si="60"/>
        <v>4.7156744356642839E-5</v>
      </c>
      <c r="M150" s="41">
        <f t="shared" si="61"/>
        <v>0.15522692443083808</v>
      </c>
      <c r="N150" s="41">
        <f t="shared" si="62"/>
        <v>0.3692129267693548</v>
      </c>
      <c r="P150" s="41">
        <f t="shared" si="63"/>
        <v>27.403190388199622</v>
      </c>
    </row>
    <row r="151" spans="1:16" s="41" customFormat="1" x14ac:dyDescent="0.25">
      <c r="A151" s="41">
        <v>20</v>
      </c>
      <c r="C151" s="41">
        <v>46.034244751049421</v>
      </c>
      <c r="D151" s="41">
        <f t="shared" si="64"/>
        <v>46.056753249349761</v>
      </c>
      <c r="E151" s="41">
        <f t="shared" si="55"/>
        <v>46.150929249349758</v>
      </c>
      <c r="F151" s="41">
        <v>6</v>
      </c>
      <c r="G151" s="41">
        <f t="shared" si="56"/>
        <v>150</v>
      </c>
      <c r="H151" s="41">
        <f t="shared" si="57"/>
        <v>0.30767286166233171</v>
      </c>
      <c r="I151" s="41">
        <v>2940119.3099999991</v>
      </c>
      <c r="J151" s="41">
        <f t="shared" si="58"/>
        <v>1699.3889611799993</v>
      </c>
      <c r="K151" s="41">
        <f t="shared" si="59"/>
        <v>12.935384593539249</v>
      </c>
      <c r="L151" s="41">
        <f t="shared" si="60"/>
        <v>4.7623746118872267E-5</v>
      </c>
      <c r="M151" s="41">
        <f t="shared" si="61"/>
        <v>0.16186253688890073</v>
      </c>
      <c r="N151" s="41">
        <f t="shared" si="62"/>
        <v>0.38499597410815645</v>
      </c>
      <c r="P151" s="41">
        <f t="shared" si="63"/>
        <v>28.294412329830728</v>
      </c>
    </row>
    <row r="152" spans="1:16" s="41" customFormat="1" x14ac:dyDescent="0.25"/>
    <row r="153" spans="1:16" s="41" customFormat="1" x14ac:dyDescent="0.25"/>
    <row r="154" spans="1:16" x14ac:dyDescent="0.25">
      <c r="B154" s="38"/>
      <c r="C154" s="41"/>
      <c r="D154" s="41"/>
      <c r="E154" s="41"/>
      <c r="F154" s="41"/>
      <c r="G154" s="41"/>
      <c r="H154" s="41"/>
      <c r="I154" s="2"/>
      <c r="J154" s="41"/>
      <c r="K154" s="41"/>
      <c r="L154" s="41"/>
      <c r="M154" s="41"/>
      <c r="N154" s="41"/>
      <c r="O154" s="41"/>
      <c r="P154" s="41"/>
    </row>
    <row r="155" spans="1:16" ht="18.75" x14ac:dyDescent="0.35">
      <c r="A155" s="38" t="s">
        <v>30</v>
      </c>
      <c r="B155" s="38"/>
      <c r="C155" s="38" t="s">
        <v>1</v>
      </c>
      <c r="D155" s="38" t="s">
        <v>2</v>
      </c>
      <c r="E155" s="38" t="s">
        <v>3</v>
      </c>
      <c r="F155" s="38" t="s">
        <v>5</v>
      </c>
      <c r="G155" s="38" t="s">
        <v>6</v>
      </c>
      <c r="H155" s="38" t="s">
        <v>7</v>
      </c>
      <c r="I155" s="38" t="s">
        <v>4</v>
      </c>
      <c r="J155" s="38" t="s">
        <v>21</v>
      </c>
      <c r="K155" s="38" t="s">
        <v>16</v>
      </c>
      <c r="L155" s="38" t="s">
        <v>17</v>
      </c>
      <c r="M155" s="38" t="s">
        <v>18</v>
      </c>
      <c r="N155" s="38" t="s">
        <v>19</v>
      </c>
      <c r="O155" s="41"/>
      <c r="P155" s="38" t="s">
        <v>23</v>
      </c>
    </row>
    <row r="156" spans="1:16" s="41" customFormat="1" x14ac:dyDescent="0.25">
      <c r="A156" s="41">
        <v>0</v>
      </c>
      <c r="C156" s="41">
        <v>-2.4425114977009582E-3</v>
      </c>
      <c r="D156" s="41">
        <f t="shared" ref="D156:D170" si="65">C156-$C$156</f>
        <v>0</v>
      </c>
      <c r="E156" s="41">
        <f t="shared" ref="E156:E170" si="66">D156+($E$2*9.81)</f>
        <v>9.4175999999999996E-2</v>
      </c>
      <c r="F156" s="41">
        <v>6</v>
      </c>
      <c r="G156" s="41">
        <f t="shared" ref="G156:G163" si="67">F156*$E$3</f>
        <v>150</v>
      </c>
      <c r="H156" s="41">
        <f t="shared" ref="H156:H162" si="68">E156/G156</f>
        <v>6.2783999999999995E-4</v>
      </c>
      <c r="I156" s="41">
        <v>128016.25</v>
      </c>
      <c r="J156" s="41">
        <f>(I156*$E$4)/1000</f>
        <v>73.993392499999999</v>
      </c>
      <c r="K156" s="41">
        <f t="shared" ref="K156:K163" si="69">E156*($E$11/G156)</f>
        <v>2.6396061775902726E-2</v>
      </c>
      <c r="L156" s="41">
        <f t="shared" ref="L156:L163" si="70">SQRT((4*$E$6*K156)/(2*3.14*$E$7*J156))</f>
        <v>1.0309874439303865E-5</v>
      </c>
      <c r="M156" s="41">
        <f t="shared" ref="M156:M163" si="71">2*L156*J156</f>
        <v>1.5257251720262566E-3</v>
      </c>
      <c r="N156" s="41">
        <f t="shared" ref="N156:N163" si="72">(M156/$E$11)*100</f>
        <v>3.6289932192818757E-3</v>
      </c>
      <c r="P156" s="41">
        <f t="shared" ref="P156:P163" si="73">(J156/$E$12)*100</f>
        <v>1.2319719645726532</v>
      </c>
    </row>
    <row r="157" spans="1:16" x14ac:dyDescent="0.25">
      <c r="A157" s="41">
        <v>2</v>
      </c>
      <c r="C157">
        <v>0.75618696260747464</v>
      </c>
      <c r="D157" s="41">
        <f t="shared" si="65"/>
        <v>0.75862947410517556</v>
      </c>
      <c r="E157" s="41">
        <f t="shared" si="66"/>
        <v>0.8528054741051756</v>
      </c>
      <c r="F157" s="41">
        <v>6</v>
      </c>
      <c r="G157" s="41">
        <f t="shared" si="67"/>
        <v>150</v>
      </c>
      <c r="H157" s="41">
        <f t="shared" si="68"/>
        <v>5.6853698273678374E-3</v>
      </c>
      <c r="I157">
        <v>402334.91000000003</v>
      </c>
      <c r="J157" s="41">
        <f t="shared" ref="J157:J163" si="74">(I157*$E$4)/1000</f>
        <v>232.54957798000001</v>
      </c>
      <c r="K157" s="41">
        <f t="shared" si="69"/>
        <v>0.23902805361565821</v>
      </c>
      <c r="L157" s="41">
        <f t="shared" si="70"/>
        <v>1.7500358185416564E-5</v>
      </c>
      <c r="M157" s="41">
        <f t="shared" si="71"/>
        <v>8.1394018210349216E-3</v>
      </c>
      <c r="N157" s="41">
        <f t="shared" si="72"/>
        <v>1.9359865432591786E-2</v>
      </c>
      <c r="P157" s="41">
        <f t="shared" si="73"/>
        <v>3.8718938376093788</v>
      </c>
    </row>
    <row r="158" spans="1:16" x14ac:dyDescent="0.25">
      <c r="A158" s="41">
        <v>4</v>
      </c>
      <c r="C158">
        <v>1.7906756648670239</v>
      </c>
      <c r="D158" s="41">
        <f t="shared" si="65"/>
        <v>1.7931181763647248</v>
      </c>
      <c r="E158" s="41">
        <f t="shared" si="66"/>
        <v>1.8872941763647249</v>
      </c>
      <c r="F158" s="41">
        <v>6</v>
      </c>
      <c r="G158" s="41">
        <f t="shared" si="67"/>
        <v>150</v>
      </c>
      <c r="H158" s="41">
        <f t="shared" si="68"/>
        <v>1.2581961175764832E-2</v>
      </c>
      <c r="I158">
        <v>621185.05000000005</v>
      </c>
      <c r="J158" s="41">
        <f t="shared" si="74"/>
        <v>359.04495890000004</v>
      </c>
      <c r="K158" s="41">
        <f t="shared" si="69"/>
        <v>0.52897907820065337</v>
      </c>
      <c r="L158" s="41">
        <f t="shared" si="70"/>
        <v>2.0951981837192928E-5</v>
      </c>
      <c r="M158" s="41">
        <f t="shared" si="71"/>
        <v>1.5045406915216964E-2</v>
      </c>
      <c r="N158" s="41">
        <f t="shared" si="72"/>
        <v>3.5786051562711835E-2</v>
      </c>
      <c r="P158" s="41">
        <f t="shared" si="73"/>
        <v>5.9780111228977733</v>
      </c>
    </row>
    <row r="159" spans="1:16" x14ac:dyDescent="0.25">
      <c r="A159" s="41">
        <v>6</v>
      </c>
      <c r="C159">
        <v>3.2003531293741183</v>
      </c>
      <c r="D159" s="41">
        <f t="shared" si="65"/>
        <v>3.2027956408718192</v>
      </c>
      <c r="E159" s="41">
        <f t="shared" si="66"/>
        <v>3.2969716408718193</v>
      </c>
      <c r="F159" s="41">
        <v>6</v>
      </c>
      <c r="G159" s="41">
        <f t="shared" si="67"/>
        <v>150</v>
      </c>
      <c r="H159" s="41">
        <f t="shared" si="68"/>
        <v>2.1979810939145462E-2</v>
      </c>
      <c r="I159">
        <v>894563.11</v>
      </c>
      <c r="J159" s="41">
        <f t="shared" si="74"/>
        <v>517.05747757999995</v>
      </c>
      <c r="K159" s="41">
        <f t="shared" si="69"/>
        <v>0.92408965241517915</v>
      </c>
      <c r="L159" s="41">
        <f t="shared" si="70"/>
        <v>2.3076392649372276E-5</v>
      </c>
      <c r="M159" s="41">
        <f t="shared" si="71"/>
        <v>2.3863642749860161E-2</v>
      </c>
      <c r="N159" s="41">
        <f t="shared" si="72"/>
        <v>5.6760548566945505E-2</v>
      </c>
      <c r="P159" s="41">
        <f t="shared" si="73"/>
        <v>8.6088810761205909</v>
      </c>
    </row>
    <row r="160" spans="1:16" x14ac:dyDescent="0.25">
      <c r="A160" s="41">
        <v>8</v>
      </c>
      <c r="C160">
        <v>4.0275882823435225</v>
      </c>
      <c r="D160" s="41">
        <f t="shared" si="65"/>
        <v>4.0300307938412239</v>
      </c>
      <c r="E160" s="41">
        <f t="shared" si="66"/>
        <v>4.1242067938412239</v>
      </c>
      <c r="F160" s="41">
        <v>6</v>
      </c>
      <c r="G160" s="41">
        <f t="shared" si="67"/>
        <v>150</v>
      </c>
      <c r="H160" s="41">
        <f t="shared" si="68"/>
        <v>2.7494711958941494E-2</v>
      </c>
      <c r="I160">
        <v>992542.29</v>
      </c>
      <c r="J160" s="41">
        <f t="shared" si="74"/>
        <v>573.68944362000002</v>
      </c>
      <c r="K160" s="41">
        <f t="shared" si="69"/>
        <v>1.1559507444235333</v>
      </c>
      <c r="L160" s="41">
        <f t="shared" si="70"/>
        <v>2.4502562923767387E-5</v>
      </c>
      <c r="M160" s="41">
        <f t="shared" si="71"/>
        <v>2.8113723382000307E-2</v>
      </c>
      <c r="N160" s="41">
        <f t="shared" si="72"/>
        <v>6.6869521059648399E-2</v>
      </c>
      <c r="P160" s="41">
        <f t="shared" si="73"/>
        <v>9.5517895183833321</v>
      </c>
    </row>
    <row r="161" spans="1:34" x14ac:dyDescent="0.25">
      <c r="A161" s="41">
        <v>10</v>
      </c>
      <c r="C161">
        <v>5.9633879224154942</v>
      </c>
      <c r="D161" s="41">
        <f t="shared" si="65"/>
        <v>5.9658304339131956</v>
      </c>
      <c r="E161" s="41">
        <f t="shared" si="66"/>
        <v>6.0600064339131956</v>
      </c>
      <c r="F161" s="41">
        <v>6</v>
      </c>
      <c r="G161" s="41">
        <f t="shared" si="67"/>
        <v>150</v>
      </c>
      <c r="H161" s="41">
        <f t="shared" si="68"/>
        <v>4.0400042892754638E-2</v>
      </c>
      <c r="I161">
        <v>1233123.2000000002</v>
      </c>
      <c r="J161" s="41">
        <f t="shared" si="74"/>
        <v>712.74520960000007</v>
      </c>
      <c r="K161" s="41">
        <f t="shared" si="69"/>
        <v>1.6985251464485718</v>
      </c>
      <c r="L161" s="41">
        <f t="shared" si="70"/>
        <v>2.6647048652565877E-5</v>
      </c>
      <c r="M161" s="41">
        <f t="shared" si="71"/>
        <v>3.7985112554188932E-2</v>
      </c>
      <c r="N161" s="41">
        <f t="shared" si="72"/>
        <v>9.0348981861353359E-2</v>
      </c>
      <c r="P161" s="41">
        <f t="shared" si="73"/>
        <v>11.867034155930337</v>
      </c>
    </row>
    <row r="162" spans="1:34" x14ac:dyDescent="0.25">
      <c r="A162" s="41">
        <v>11</v>
      </c>
      <c r="C162">
        <v>8.0190121975605475</v>
      </c>
      <c r="D162" s="41">
        <f t="shared" si="65"/>
        <v>8.0214547090582489</v>
      </c>
      <c r="E162" s="41">
        <f t="shared" si="66"/>
        <v>8.115630709058248</v>
      </c>
      <c r="F162" s="41">
        <v>6</v>
      </c>
      <c r="G162" s="41">
        <f t="shared" si="67"/>
        <v>150</v>
      </c>
      <c r="H162" s="41">
        <f t="shared" si="68"/>
        <v>5.4104204727054989E-2</v>
      </c>
      <c r="I162">
        <v>1446398.69</v>
      </c>
      <c r="J162" s="41">
        <f t="shared" si="74"/>
        <v>836.0184428199999</v>
      </c>
      <c r="K162" s="41">
        <f t="shared" si="69"/>
        <v>2.2746845220301855</v>
      </c>
      <c r="L162" s="41">
        <f t="shared" si="70"/>
        <v>2.8472980788097488E-5</v>
      </c>
      <c r="M162" s="41">
        <f t="shared" si="71"/>
        <v>4.7607874121818071E-2</v>
      </c>
      <c r="N162" s="41">
        <f t="shared" si="72"/>
        <v>0.11323707279670525</v>
      </c>
      <c r="P162" s="41">
        <f t="shared" si="73"/>
        <v>13.919503466744354</v>
      </c>
    </row>
    <row r="163" spans="1:34" x14ac:dyDescent="0.25">
      <c r="A163" s="41">
        <v>12</v>
      </c>
      <c r="C163">
        <v>11.947014197160552</v>
      </c>
      <c r="D163" s="41">
        <f t="shared" si="65"/>
        <v>11.949456708658253</v>
      </c>
      <c r="E163" s="41">
        <f t="shared" si="66"/>
        <v>12.043632708658253</v>
      </c>
      <c r="F163" s="41">
        <v>6</v>
      </c>
      <c r="G163" s="41">
        <f t="shared" si="67"/>
        <v>150</v>
      </c>
      <c r="H163" s="41">
        <f t="shared" ref="H163:H170" si="75">E163/G163</f>
        <v>8.0290884724388348E-2</v>
      </c>
      <c r="I163">
        <v>1665709.1999999997</v>
      </c>
      <c r="J163" s="41">
        <f t="shared" si="74"/>
        <v>962.77991759999986</v>
      </c>
      <c r="K163" s="41">
        <f t="shared" si="69"/>
        <v>3.3756421273363268</v>
      </c>
      <c r="L163" s="41">
        <f t="shared" si="70"/>
        <v>3.2321757353088959E-5</v>
      </c>
      <c r="M163" s="41">
        <f t="shared" si="71"/>
        <v>6.2237477762188353E-2</v>
      </c>
      <c r="N163" s="41">
        <f t="shared" si="72"/>
        <v>0.14803412103651209</v>
      </c>
      <c r="P163" s="41">
        <f t="shared" si="73"/>
        <v>16.030051149996524</v>
      </c>
    </row>
    <row r="164" spans="1:34" x14ac:dyDescent="0.25">
      <c r="A164" s="41">
        <v>14</v>
      </c>
      <c r="C164">
        <v>19.80946990601899</v>
      </c>
      <c r="D164" s="41">
        <f t="shared" si="65"/>
        <v>19.811912417516691</v>
      </c>
      <c r="E164" s="41">
        <f t="shared" si="66"/>
        <v>19.906088417516692</v>
      </c>
      <c r="F164" s="41">
        <v>6</v>
      </c>
      <c r="G164" s="41">
        <f t="shared" ref="G164:G170" si="76">F164*$E$3</f>
        <v>150</v>
      </c>
      <c r="H164" s="41">
        <f t="shared" si="75"/>
        <v>0.13270725611677794</v>
      </c>
      <c r="I164">
        <v>2312232.0799999996</v>
      </c>
      <c r="J164" s="41">
        <f t="shared" ref="J164:J170" si="77">(I164*$E$4)/1000</f>
        <v>1336.4701422399996</v>
      </c>
      <c r="K164" s="41">
        <f t="shared" ref="K164:K170" si="78">E164*($E$11/G164)</f>
        <v>5.5793656513905061</v>
      </c>
      <c r="L164" s="41">
        <f t="shared" ref="L164:L170" si="79">SQRT((4*$E$6*K164)/(2*3.14*$E$7*J164))</f>
        <v>3.5268992993272395E-5</v>
      </c>
      <c r="M164" s="41">
        <f t="shared" ref="M164:M170" si="80">2*L164*J164</f>
        <v>9.4271912164760621E-2</v>
      </c>
      <c r="N164" s="41">
        <f t="shared" ref="N164:N170" si="81">(M164/$E$11)*100</f>
        <v>0.22422919690071511</v>
      </c>
      <c r="P164" s="41">
        <f t="shared" ref="P164:P170" si="82">(J164/$E$12)*100</f>
        <v>22.251902380717382</v>
      </c>
      <c r="S164" s="41"/>
      <c r="V164" s="41"/>
      <c r="W164" s="41"/>
      <c r="X164" s="41"/>
      <c r="Y164" s="41"/>
      <c r="Z164" s="41"/>
      <c r="AB164" s="41"/>
      <c r="AC164" s="41"/>
      <c r="AD164" s="41"/>
      <c r="AE164" s="41"/>
      <c r="AF164" s="41"/>
      <c r="AH164" s="41"/>
    </row>
    <row r="165" spans="1:34" x14ac:dyDescent="0.25">
      <c r="A165" s="41">
        <v>15</v>
      </c>
      <c r="C165">
        <v>23.72067386522658</v>
      </c>
      <c r="D165" s="41">
        <f t="shared" si="65"/>
        <v>23.723116376724281</v>
      </c>
      <c r="E165" s="41">
        <f t="shared" si="66"/>
        <v>23.817292376724282</v>
      </c>
      <c r="F165" s="41">
        <v>6</v>
      </c>
      <c r="G165" s="41">
        <f t="shared" si="76"/>
        <v>150</v>
      </c>
      <c r="H165" s="41">
        <f t="shared" si="75"/>
        <v>0.15878194917816188</v>
      </c>
      <c r="I165">
        <v>2460902.2199999993</v>
      </c>
      <c r="J165" s="41">
        <f t="shared" si="77"/>
        <v>1422.4014831599993</v>
      </c>
      <c r="K165" s="41">
        <f t="shared" si="78"/>
        <v>6.6756150283591484</v>
      </c>
      <c r="L165" s="41">
        <f t="shared" si="79"/>
        <v>3.7395110558257309E-5</v>
      </c>
      <c r="M165" s="41">
        <f t="shared" si="80"/>
        <v>0.10638172144199469</v>
      </c>
      <c r="N165" s="41">
        <f t="shared" si="81"/>
        <v>0.2530328219307168</v>
      </c>
      <c r="P165" s="41">
        <f t="shared" si="82"/>
        <v>23.682638279082557</v>
      </c>
    </row>
    <row r="166" spans="1:34" x14ac:dyDescent="0.25">
      <c r="A166" s="41">
        <v>16</v>
      </c>
      <c r="C166">
        <v>28.00785262947371</v>
      </c>
      <c r="D166" s="41">
        <f t="shared" si="65"/>
        <v>28.010295140971412</v>
      </c>
      <c r="E166" s="41">
        <f t="shared" si="66"/>
        <v>28.104471140971413</v>
      </c>
      <c r="F166" s="41">
        <v>6</v>
      </c>
      <c r="G166" s="41">
        <f t="shared" si="76"/>
        <v>150</v>
      </c>
      <c r="H166" s="41">
        <f t="shared" si="75"/>
        <v>0.18736314093980941</v>
      </c>
      <c r="I166">
        <v>2530247.9799999991</v>
      </c>
      <c r="J166" s="41">
        <f t="shared" si="77"/>
        <v>1462.4833324399992</v>
      </c>
      <c r="K166" s="41">
        <f t="shared" si="78"/>
        <v>7.8772442704739714</v>
      </c>
      <c r="L166" s="41">
        <f t="shared" si="79"/>
        <v>4.0061017147779908E-5</v>
      </c>
      <c r="M166" s="41">
        <f t="shared" si="80"/>
        <v>0.11717713971844222</v>
      </c>
      <c r="N166" s="41">
        <f t="shared" si="81"/>
        <v>0.27871011981032834</v>
      </c>
      <c r="P166" s="41">
        <f t="shared" si="82"/>
        <v>24.349991307951811</v>
      </c>
    </row>
    <row r="167" spans="1:34" x14ac:dyDescent="0.25">
      <c r="A167" s="41">
        <v>17</v>
      </c>
      <c r="C167">
        <v>31.763637272545694</v>
      </c>
      <c r="D167" s="41">
        <f t="shared" si="65"/>
        <v>31.766079784043395</v>
      </c>
      <c r="E167" s="41">
        <f t="shared" si="66"/>
        <v>31.860255784043396</v>
      </c>
      <c r="F167" s="41">
        <v>6</v>
      </c>
      <c r="G167" s="41">
        <f t="shared" si="76"/>
        <v>150</v>
      </c>
      <c r="H167" s="41">
        <f t="shared" si="75"/>
        <v>0.21240170522695598</v>
      </c>
      <c r="I167">
        <v>2671907.9699999997</v>
      </c>
      <c r="J167" s="41">
        <f t="shared" si="77"/>
        <v>1544.3628066599997</v>
      </c>
      <c r="K167" s="41">
        <f t="shared" si="78"/>
        <v>8.9299320407712326</v>
      </c>
      <c r="L167" s="41">
        <f t="shared" si="79"/>
        <v>4.1507797366702546E-5</v>
      </c>
      <c r="M167" s="41">
        <f t="shared" si="80"/>
        <v>0.12820619687903057</v>
      </c>
      <c r="N167" s="41">
        <f t="shared" si="81"/>
        <v>0.30494313633563908</v>
      </c>
      <c r="P167" s="41">
        <f t="shared" si="82"/>
        <v>25.71326461256465</v>
      </c>
    </row>
    <row r="168" spans="1:34" x14ac:dyDescent="0.25">
      <c r="A168">
        <v>18</v>
      </c>
      <c r="C168">
        <v>36.455058388322186</v>
      </c>
      <c r="D168" s="41">
        <f t="shared" si="65"/>
        <v>36.457500899819884</v>
      </c>
      <c r="E168" s="41">
        <f t="shared" si="66"/>
        <v>36.551676899819881</v>
      </c>
      <c r="F168" s="41">
        <v>6</v>
      </c>
      <c r="G168" s="41">
        <f t="shared" si="76"/>
        <v>150</v>
      </c>
      <c r="H168" s="41">
        <f t="shared" si="75"/>
        <v>0.24367784599879921</v>
      </c>
      <c r="I168">
        <v>2746394.1799999997</v>
      </c>
      <c r="J168" s="41">
        <f t="shared" si="77"/>
        <v>1587.4158360399997</v>
      </c>
      <c r="K168" s="41">
        <f t="shared" si="78"/>
        <v>10.244864099775763</v>
      </c>
      <c r="L168" s="41">
        <f t="shared" si="79"/>
        <v>4.3851860570255909E-5</v>
      </c>
      <c r="M168" s="41">
        <f t="shared" si="80"/>
        <v>0.13922227581808455</v>
      </c>
      <c r="N168" s="41">
        <f t="shared" si="81"/>
        <v>0.33114528368555041</v>
      </c>
      <c r="P168" s="41">
        <f t="shared" si="82"/>
        <v>26.430087066489609</v>
      </c>
    </row>
    <row r="169" spans="1:34" x14ac:dyDescent="0.25">
      <c r="A169" s="41">
        <v>19</v>
      </c>
      <c r="C169">
        <v>40.570969206158637</v>
      </c>
      <c r="D169" s="41">
        <f t="shared" si="65"/>
        <v>40.573411717656334</v>
      </c>
      <c r="E169" s="41">
        <f t="shared" si="66"/>
        <v>40.667587717656332</v>
      </c>
      <c r="F169" s="41">
        <v>6</v>
      </c>
      <c r="G169" s="41">
        <f t="shared" si="76"/>
        <v>150</v>
      </c>
      <c r="H169" s="41">
        <f t="shared" si="75"/>
        <v>0.27111725145104221</v>
      </c>
      <c r="I169">
        <v>2941072.5699999994</v>
      </c>
      <c r="J169" s="41">
        <f t="shared" si="77"/>
        <v>1699.9399454599995</v>
      </c>
      <c r="K169" s="41">
        <f t="shared" si="78"/>
        <v>11.398489611707861</v>
      </c>
      <c r="L169" s="41">
        <f t="shared" si="79"/>
        <v>4.4697902336141993E-5</v>
      </c>
      <c r="M169" s="41">
        <f t="shared" si="80"/>
        <v>0.1519674993189552</v>
      </c>
      <c r="N169" s="41">
        <f t="shared" si="81"/>
        <v>0.36146026472598619</v>
      </c>
      <c r="P169" s="41">
        <f t="shared" si="82"/>
        <v>28.303586083904513</v>
      </c>
    </row>
    <row r="170" spans="1:34" x14ac:dyDescent="0.25">
      <c r="A170" s="41">
        <v>20</v>
      </c>
      <c r="C170">
        <v>45.496105778844424</v>
      </c>
      <c r="D170" s="41">
        <f t="shared" si="65"/>
        <v>45.498548290342121</v>
      </c>
      <c r="E170" s="41">
        <f t="shared" si="66"/>
        <v>45.592724290342119</v>
      </c>
      <c r="F170" s="41">
        <v>6</v>
      </c>
      <c r="G170" s="41">
        <f t="shared" si="76"/>
        <v>150</v>
      </c>
      <c r="H170" s="41">
        <f t="shared" si="75"/>
        <v>0.30395149526894744</v>
      </c>
      <c r="I170">
        <v>2843974.2199999988</v>
      </c>
      <c r="J170" s="41">
        <f t="shared" si="77"/>
        <v>1643.8170991599993</v>
      </c>
      <c r="K170" s="41">
        <f t="shared" si="78"/>
        <v>12.778928462661096</v>
      </c>
      <c r="L170" s="41">
        <f t="shared" si="79"/>
        <v>4.8128325362544236E-5</v>
      </c>
      <c r="M170" s="41">
        <f t="shared" si="80"/>
        <v>0.15822832836977219</v>
      </c>
      <c r="N170" s="41">
        <f t="shared" si="81"/>
        <v>0.37635187599980663</v>
      </c>
      <c r="P170" s="41">
        <f t="shared" si="82"/>
        <v>27.369154361320362</v>
      </c>
    </row>
    <row r="172" spans="1:34" x14ac:dyDescent="0.25">
      <c r="A172" s="41"/>
      <c r="G172" s="41"/>
      <c r="H172" s="41"/>
      <c r="K172" s="41"/>
      <c r="L172" s="41"/>
      <c r="M172" s="41"/>
      <c r="N172" s="41"/>
      <c r="P172" s="41"/>
    </row>
    <row r="173" spans="1:34" x14ac:dyDescent="0.2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</row>
    <row r="174" spans="1:34" x14ac:dyDescent="0.25">
      <c r="G174" s="41"/>
      <c r="H174" s="41"/>
      <c r="K174" s="41"/>
      <c r="L174" s="41"/>
      <c r="M174" s="41"/>
      <c r="N174" s="41"/>
      <c r="P174" s="41"/>
    </row>
    <row r="175" spans="1:34" x14ac:dyDescent="0.25">
      <c r="A175" s="38" t="s">
        <v>37</v>
      </c>
      <c r="B175" s="38"/>
      <c r="C175" s="41"/>
      <c r="D175" s="41"/>
      <c r="E175" s="41"/>
      <c r="F175" s="41"/>
      <c r="G175" s="41"/>
      <c r="H175" s="41"/>
      <c r="I175" s="2"/>
      <c r="J175" s="41"/>
      <c r="K175" s="41"/>
      <c r="L175" s="41"/>
      <c r="M175" s="41"/>
      <c r="N175" s="41"/>
      <c r="O175" s="41"/>
      <c r="P175" s="41"/>
    </row>
    <row r="176" spans="1:34" ht="18.75" x14ac:dyDescent="0.35">
      <c r="A176" s="38" t="s">
        <v>0</v>
      </c>
      <c r="B176" s="38"/>
      <c r="C176" s="38" t="s">
        <v>1</v>
      </c>
      <c r="D176" s="38" t="s">
        <v>2</v>
      </c>
      <c r="E176" s="38" t="s">
        <v>3</v>
      </c>
      <c r="F176" s="38" t="s">
        <v>5</v>
      </c>
      <c r="G176" s="38" t="s">
        <v>6</v>
      </c>
      <c r="H176" s="38" t="s">
        <v>7</v>
      </c>
      <c r="I176" s="38" t="s">
        <v>4</v>
      </c>
      <c r="J176" s="38" t="s">
        <v>21</v>
      </c>
      <c r="K176" s="38" t="s">
        <v>16</v>
      </c>
      <c r="L176" s="38" t="s">
        <v>17</v>
      </c>
      <c r="M176" s="38" t="s">
        <v>18</v>
      </c>
      <c r="N176" s="38" t="s">
        <v>19</v>
      </c>
      <c r="O176" s="41"/>
      <c r="P176" s="38" t="s">
        <v>23</v>
      </c>
    </row>
    <row r="177" spans="1:16" x14ac:dyDescent="0.25">
      <c r="A177">
        <v>0</v>
      </c>
      <c r="C177">
        <v>1.2236952609478083E-2</v>
      </c>
      <c r="D177">
        <f t="shared" ref="D177:D192" si="83">C177-$C$177</f>
        <v>0</v>
      </c>
      <c r="E177" s="41">
        <f t="shared" ref="E177:E192" si="84">D177+($E$2*9.81)</f>
        <v>9.4175999999999996E-2</v>
      </c>
      <c r="F177">
        <v>5.75</v>
      </c>
      <c r="G177" s="41">
        <f t="shared" ref="G177:G192" si="85">F177*$E$3</f>
        <v>143.75</v>
      </c>
      <c r="H177" s="41">
        <f t="shared" ref="H177:H192" si="86">E177/G177</f>
        <v>6.5513739130434784E-4</v>
      </c>
      <c r="I177">
        <v>116133.66000000002</v>
      </c>
      <c r="J177" s="41">
        <f>(I177*$E$5)/1000</f>
        <v>44.711459100000006</v>
      </c>
      <c r="K177" s="41">
        <f t="shared" ref="K177:K192" si="87">E177*($E$11/G177)</f>
        <v>2.754371663572458E-2</v>
      </c>
      <c r="L177" s="41">
        <f>SQRT((4*$E$6*K177)/(2*3.14*$E$7*J177))</f>
        <v>1.354821648219621E-5</v>
      </c>
      <c r="M177" s="41">
        <f>2*L177*J177</f>
        <v>1.2115210542433235E-3</v>
      </c>
      <c r="N177" s="41">
        <f>(M177/$E$11)*100</f>
        <v>2.8816472137162775E-3</v>
      </c>
      <c r="P177" s="41">
        <f>(J177/$E$12)*100</f>
        <v>0.74443490486446939</v>
      </c>
    </row>
    <row r="178" spans="1:16" x14ac:dyDescent="0.25">
      <c r="A178">
        <v>2</v>
      </c>
      <c r="C178">
        <v>0.79975024995000643</v>
      </c>
      <c r="D178" s="41">
        <f t="shared" si="83"/>
        <v>0.78751329734052833</v>
      </c>
      <c r="E178" s="41">
        <f t="shared" si="84"/>
        <v>0.88168929734052837</v>
      </c>
      <c r="F178" s="41">
        <v>5.75</v>
      </c>
      <c r="G178" s="41">
        <f t="shared" si="85"/>
        <v>143.75</v>
      </c>
      <c r="H178" s="41">
        <f t="shared" si="86"/>
        <v>6.1334907641080235E-3</v>
      </c>
      <c r="I178">
        <v>590682.85000000009</v>
      </c>
      <c r="J178" s="41">
        <f t="shared" ref="J178:J192" si="88">(I178*$E$5)/1000</f>
        <v>227.41289725000004</v>
      </c>
      <c r="K178" s="41">
        <f>E178*($E$11/G178)</f>
        <v>0.25786824845712947</v>
      </c>
      <c r="L178" s="41">
        <f t="shared" ref="L178:L192" si="89">SQRT((4*$E$6*K178)/(2*3.14*$E$7*J178))</f>
        <v>1.838110718515932E-5</v>
      </c>
      <c r="M178" s="41">
        <f t="shared" ref="M178:M192" si="90">2*L178*J178</f>
        <v>8.3602016792797482E-3</v>
      </c>
      <c r="N178" s="41">
        <f t="shared" ref="N178:N192" si="91">(M178/$E$11)*100</f>
        <v>1.9885045984817142E-2</v>
      </c>
      <c r="P178" s="41">
        <f t="shared" ref="P178:P192" si="92">(J178/$E$12)*100</f>
        <v>3.7863693544560957</v>
      </c>
    </row>
    <row r="179" spans="1:16" x14ac:dyDescent="0.25">
      <c r="A179">
        <v>4</v>
      </c>
      <c r="C179">
        <v>1.6173635272945532</v>
      </c>
      <c r="D179" s="41">
        <f t="shared" si="83"/>
        <v>1.6051265746850751</v>
      </c>
      <c r="E179" s="41">
        <f t="shared" si="84"/>
        <v>1.6993025746850752</v>
      </c>
      <c r="F179" s="41">
        <v>5.75</v>
      </c>
      <c r="G179" s="41">
        <f t="shared" si="85"/>
        <v>143.75</v>
      </c>
      <c r="H179" s="41">
        <f t="shared" si="86"/>
        <v>1.1821235302157045E-2</v>
      </c>
      <c r="I179">
        <v>889970.59000000008</v>
      </c>
      <c r="J179" s="41">
        <f t="shared" si="88"/>
        <v>342.63867715000003</v>
      </c>
      <c r="K179" s="41">
        <f t="shared" si="87"/>
        <v>0.49699614121944991</v>
      </c>
      <c r="L179" s="41">
        <f t="shared" si="89"/>
        <v>2.0789239092499234E-5</v>
      </c>
      <c r="M179" s="41">
        <f t="shared" si="90"/>
        <v>1.424639476321801E-2</v>
      </c>
      <c r="N179" s="41">
        <f t="shared" si="91"/>
        <v>3.3885571885970869E-2</v>
      </c>
      <c r="P179" s="41">
        <f t="shared" si="92"/>
        <v>5.7048505273908159</v>
      </c>
    </row>
    <row r="180" spans="1:16" x14ac:dyDescent="0.25">
      <c r="A180">
        <v>6</v>
      </c>
      <c r="C180">
        <v>2.3868000399920097</v>
      </c>
      <c r="D180" s="41">
        <f t="shared" si="83"/>
        <v>2.3745630873825316</v>
      </c>
      <c r="E180" s="41">
        <f t="shared" si="84"/>
        <v>2.4687390873825317</v>
      </c>
      <c r="F180" s="41">
        <v>5.75</v>
      </c>
      <c r="G180" s="41">
        <f t="shared" si="85"/>
        <v>143.75</v>
      </c>
      <c r="H180" s="41">
        <f t="shared" si="86"/>
        <v>1.7173837129617613E-2</v>
      </c>
      <c r="I180">
        <v>1054207.3400000001</v>
      </c>
      <c r="J180" s="41">
        <f t="shared" si="88"/>
        <v>405.86982590000008</v>
      </c>
      <c r="K180" s="41">
        <f t="shared" si="87"/>
        <v>0.72203374395176856</v>
      </c>
      <c r="L180" s="41">
        <f t="shared" si="89"/>
        <v>2.302319769210138E-5</v>
      </c>
      <c r="M180" s="41">
        <f t="shared" si="90"/>
        <v>1.8688842477908942E-2</v>
      </c>
      <c r="N180" s="41">
        <f t="shared" si="91"/>
        <v>4.4452096532226239E-2</v>
      </c>
      <c r="P180" s="41">
        <f t="shared" si="92"/>
        <v>6.7576337545921268</v>
      </c>
    </row>
    <row r="181" spans="1:16" x14ac:dyDescent="0.25">
      <c r="A181">
        <v>8</v>
      </c>
      <c r="C181">
        <v>3.1356712657468346</v>
      </c>
      <c r="D181" s="41">
        <f t="shared" si="83"/>
        <v>3.1234343131373565</v>
      </c>
      <c r="E181" s="41">
        <f t="shared" si="84"/>
        <v>3.2176103131373566</v>
      </c>
      <c r="F181" s="41">
        <v>5.75</v>
      </c>
      <c r="G181" s="41">
        <f t="shared" si="85"/>
        <v>143.75</v>
      </c>
      <c r="H181" s="41">
        <f t="shared" si="86"/>
        <v>2.2383376091390305E-2</v>
      </c>
      <c r="I181">
        <v>1277931.57</v>
      </c>
      <c r="J181" s="41">
        <f t="shared" si="88"/>
        <v>492.00365445000006</v>
      </c>
      <c r="K181" s="41">
        <f t="shared" si="87"/>
        <v>0.94105660369139044</v>
      </c>
      <c r="L181" s="41">
        <f t="shared" si="89"/>
        <v>2.3872834482697421E-5</v>
      </c>
      <c r="M181" s="41">
        <f t="shared" si="90"/>
        <v>2.3491043615134218E-2</v>
      </c>
      <c r="N181" s="41">
        <f t="shared" si="91"/>
        <v>5.5874307874177104E-2</v>
      </c>
      <c r="P181" s="41">
        <f t="shared" si="92"/>
        <v>8.1917410226824163</v>
      </c>
    </row>
    <row r="182" spans="1:16" x14ac:dyDescent="0.25">
      <c r="A182">
        <v>10</v>
      </c>
      <c r="C182">
        <v>4.0234449110178101</v>
      </c>
      <c r="D182" s="41">
        <f t="shared" si="83"/>
        <v>4.011207958408332</v>
      </c>
      <c r="E182" s="41">
        <f t="shared" si="84"/>
        <v>4.105383958408332</v>
      </c>
      <c r="F182" s="41">
        <v>5.75</v>
      </c>
      <c r="G182" s="41">
        <f t="shared" si="85"/>
        <v>143.75</v>
      </c>
      <c r="H182" s="41">
        <f t="shared" si="86"/>
        <v>2.8559192754144917E-2</v>
      </c>
      <c r="I182">
        <v>1450307.9699999993</v>
      </c>
      <c r="J182" s="41">
        <f t="shared" si="88"/>
        <v>558.36856844999977</v>
      </c>
      <c r="K182" s="41">
        <f t="shared" si="87"/>
        <v>1.2007043453878739</v>
      </c>
      <c r="L182" s="41">
        <f t="shared" si="89"/>
        <v>2.5312663022106721E-5</v>
      </c>
      <c r="M182" s="41">
        <f t="shared" si="90"/>
        <v>2.8267590830621948E-2</v>
      </c>
      <c r="N182" s="41">
        <f t="shared" si="91"/>
        <v>6.7235500423398792E-2</v>
      </c>
      <c r="P182" s="41">
        <f t="shared" si="92"/>
        <v>9.296700678090497</v>
      </c>
    </row>
    <row r="183" spans="1:16" x14ac:dyDescent="0.25">
      <c r="A183">
        <v>11</v>
      </c>
      <c r="C183">
        <v>4.9858382323535064</v>
      </c>
      <c r="D183" s="41">
        <f t="shared" si="83"/>
        <v>4.9736012797440283</v>
      </c>
      <c r="E183" s="41">
        <f t="shared" si="84"/>
        <v>5.0677772797440284</v>
      </c>
      <c r="F183" s="41">
        <v>5.75</v>
      </c>
      <c r="G183" s="41">
        <f t="shared" si="85"/>
        <v>143.75</v>
      </c>
      <c r="H183" s="41">
        <f t="shared" si="86"/>
        <v>3.525410281561063E-2</v>
      </c>
      <c r="I183">
        <v>1701694.5599999996</v>
      </c>
      <c r="J183" s="41">
        <f t="shared" si="88"/>
        <v>655.15240559999984</v>
      </c>
      <c r="K183" s="41">
        <f t="shared" si="87"/>
        <v>1.482176152801485</v>
      </c>
      <c r="L183" s="41">
        <f t="shared" si="89"/>
        <v>2.596324781774201E-5</v>
      </c>
      <c r="M183" s="41">
        <f t="shared" si="90"/>
        <v>3.4019768529965251E-2</v>
      </c>
      <c r="N183" s="41">
        <f t="shared" si="91"/>
        <v>8.0917265822404771E-2</v>
      </c>
      <c r="P183" s="41">
        <f t="shared" si="92"/>
        <v>10.908127995638687</v>
      </c>
    </row>
    <row r="184" spans="1:16" x14ac:dyDescent="0.25">
      <c r="A184">
        <v>12</v>
      </c>
      <c r="C184">
        <v>5.9621299740051761</v>
      </c>
      <c r="D184" s="41">
        <f t="shared" si="83"/>
        <v>5.949893021395698</v>
      </c>
      <c r="E184" s="41">
        <f t="shared" si="84"/>
        <v>6.044069021395698</v>
      </c>
      <c r="F184" s="41">
        <v>5.75</v>
      </c>
      <c r="G184" s="41">
        <f t="shared" si="85"/>
        <v>143.75</v>
      </c>
      <c r="H184" s="41">
        <f t="shared" si="86"/>
        <v>4.2045697540143985E-2</v>
      </c>
      <c r="I184">
        <v>1885786.0799999991</v>
      </c>
      <c r="J184" s="41">
        <f t="shared" si="88"/>
        <v>726.02764079999974</v>
      </c>
      <c r="K184" s="41">
        <f t="shared" si="87"/>
        <v>1.7677128403423832</v>
      </c>
      <c r="L184" s="41">
        <f t="shared" si="89"/>
        <v>2.6934539737841721E-5</v>
      </c>
      <c r="M184" s="41">
        <f t="shared" si="90"/>
        <v>3.9110440683798139E-2</v>
      </c>
      <c r="N184" s="41">
        <f t="shared" si="91"/>
        <v>9.3025616045998433E-2</v>
      </c>
      <c r="P184" s="41">
        <f t="shared" si="92"/>
        <v>12.088183400570861</v>
      </c>
    </row>
    <row r="185" spans="1:16" x14ac:dyDescent="0.25">
      <c r="A185">
        <v>13</v>
      </c>
      <c r="C185">
        <v>7.9283895220956202</v>
      </c>
      <c r="D185" s="41">
        <f t="shared" si="83"/>
        <v>7.9161525694861421</v>
      </c>
      <c r="E185" s="41">
        <f t="shared" si="84"/>
        <v>8.0103285694861412</v>
      </c>
      <c r="F185" s="41">
        <v>5.75</v>
      </c>
      <c r="G185" s="41">
        <f t="shared" si="85"/>
        <v>143.75</v>
      </c>
      <c r="H185" s="41">
        <f t="shared" si="86"/>
        <v>5.572402483120794E-2</v>
      </c>
      <c r="I185">
        <v>2201250.459999999</v>
      </c>
      <c r="J185" s="41">
        <f t="shared" si="88"/>
        <v>847.48142709999968</v>
      </c>
      <c r="K185" s="41">
        <f t="shared" si="87"/>
        <v>2.3427860630837509</v>
      </c>
      <c r="L185" s="41">
        <f t="shared" si="89"/>
        <v>2.8699973730854853E-5</v>
      </c>
      <c r="M185" s="41">
        <f t="shared" si="90"/>
        <v>4.8645389390314743E-2</v>
      </c>
      <c r="N185" s="41">
        <f t="shared" si="91"/>
        <v>0.11570484087401599</v>
      </c>
      <c r="P185" s="41">
        <f t="shared" si="92"/>
        <v>14.110359363279937</v>
      </c>
    </row>
    <row r="186" spans="1:16" x14ac:dyDescent="0.25">
      <c r="A186">
        <v>14</v>
      </c>
      <c r="C186">
        <v>11.81343011397724</v>
      </c>
      <c r="D186" s="41">
        <f t="shared" si="83"/>
        <v>11.801193161367763</v>
      </c>
      <c r="E186" s="41">
        <f t="shared" si="84"/>
        <v>11.895369161367762</v>
      </c>
      <c r="F186" s="41">
        <v>5.75</v>
      </c>
      <c r="G186" s="41">
        <f t="shared" si="85"/>
        <v>143.75</v>
      </c>
      <c r="H186" s="41">
        <f t="shared" si="86"/>
        <v>8.2750394166036606E-2</v>
      </c>
      <c r="I186">
        <v>2748786.8399999989</v>
      </c>
      <c r="J186" s="41">
        <f t="shared" si="88"/>
        <v>1058.2829333999996</v>
      </c>
      <c r="K186" s="41">
        <f t="shared" si="87"/>
        <v>3.4790464391994815</v>
      </c>
      <c r="L186" s="41">
        <f t="shared" si="89"/>
        <v>3.1297488941019977E-5</v>
      </c>
      <c r="M186" s="41">
        <f t="shared" si="90"/>
        <v>6.6243196809113336E-2</v>
      </c>
      <c r="N186" s="41">
        <f t="shared" si="91"/>
        <v>0.15756187054616547</v>
      </c>
      <c r="P186" s="41">
        <f t="shared" si="92"/>
        <v>17.620153104001929</v>
      </c>
    </row>
    <row r="187" spans="1:16" x14ac:dyDescent="0.25">
      <c r="A187">
        <v>15</v>
      </c>
      <c r="C187">
        <v>15.816824235153042</v>
      </c>
      <c r="D187" s="41">
        <f t="shared" si="83"/>
        <v>15.804587282543565</v>
      </c>
      <c r="E187" s="41">
        <f t="shared" si="84"/>
        <v>15.898763282543564</v>
      </c>
      <c r="F187" s="41">
        <v>5.75</v>
      </c>
      <c r="G187" s="41">
        <f t="shared" si="85"/>
        <v>143.75</v>
      </c>
      <c r="H187" s="41">
        <f t="shared" si="86"/>
        <v>0.11060009240030305</v>
      </c>
      <c r="I187">
        <v>3123914.5999999982</v>
      </c>
      <c r="J187" s="41">
        <f t="shared" si="88"/>
        <v>1202.7071209999992</v>
      </c>
      <c r="K187" s="41">
        <f t="shared" si="87"/>
        <v>4.6499217498390495</v>
      </c>
      <c r="L187" s="41">
        <f t="shared" si="89"/>
        <v>3.3940884748238577E-5</v>
      </c>
      <c r="M187" s="41">
        <f t="shared" si="90"/>
        <v>8.1641887559493601E-2</v>
      </c>
      <c r="N187" s="41">
        <f t="shared" si="91"/>
        <v>0.19418822065398611</v>
      </c>
      <c r="P187" s="41">
        <f t="shared" si="92"/>
        <v>20.024780654081901</v>
      </c>
    </row>
    <row r="188" spans="1:16" x14ac:dyDescent="0.25">
      <c r="A188">
        <v>16</v>
      </c>
      <c r="C188">
        <v>19.853035792841059</v>
      </c>
      <c r="D188" s="41">
        <f t="shared" si="83"/>
        <v>19.840798840231582</v>
      </c>
      <c r="E188" s="41">
        <f t="shared" si="84"/>
        <v>19.934974840231583</v>
      </c>
      <c r="F188" s="41">
        <v>5.75</v>
      </c>
      <c r="G188" s="41">
        <f t="shared" si="85"/>
        <v>143.75</v>
      </c>
      <c r="H188" s="41">
        <f t="shared" si="86"/>
        <v>0.13867808584508928</v>
      </c>
      <c r="I188">
        <v>3421136.879999998</v>
      </c>
      <c r="J188" s="41">
        <f t="shared" si="88"/>
        <v>1317.1376987999993</v>
      </c>
      <c r="K188" s="41">
        <f t="shared" si="87"/>
        <v>5.8303951977110682</v>
      </c>
      <c r="L188" s="41">
        <f t="shared" si="89"/>
        <v>3.6317310947992369E-5</v>
      </c>
      <c r="M188" s="41">
        <f t="shared" si="90"/>
        <v>9.5669798737285372E-2</v>
      </c>
      <c r="N188" s="41">
        <f t="shared" si="91"/>
        <v>0.22755412132749131</v>
      </c>
      <c r="P188" s="41">
        <f t="shared" si="92"/>
        <v>21.930021905717307</v>
      </c>
    </row>
    <row r="189" spans="1:16" x14ac:dyDescent="0.25">
      <c r="A189">
        <v>17</v>
      </c>
      <c r="C189">
        <v>23.773464907018738</v>
      </c>
      <c r="D189" s="41">
        <f t="shared" si="83"/>
        <v>23.761227954409261</v>
      </c>
      <c r="E189" s="41">
        <f t="shared" si="84"/>
        <v>23.855403954409262</v>
      </c>
      <c r="F189" s="41">
        <v>5.75</v>
      </c>
      <c r="G189" s="41">
        <f t="shared" si="85"/>
        <v>143.75</v>
      </c>
      <c r="H189" s="41">
        <f t="shared" si="86"/>
        <v>0.16595063620458617</v>
      </c>
      <c r="I189">
        <v>3618415.4999999981</v>
      </c>
      <c r="J189" s="41">
        <f t="shared" si="88"/>
        <v>1393.0899674999994</v>
      </c>
      <c r="K189" s="41">
        <f t="shared" si="87"/>
        <v>6.9770056782088039</v>
      </c>
      <c r="L189" s="41">
        <f t="shared" si="89"/>
        <v>3.8630046760772054E-5</v>
      </c>
      <c r="M189" s="41">
        <f t="shared" si="90"/>
        <v>0.10763026117297479</v>
      </c>
      <c r="N189" s="41">
        <f t="shared" si="91"/>
        <v>0.25600251942329566</v>
      </c>
      <c r="P189" s="41">
        <f t="shared" si="92"/>
        <v>23.194608681949919</v>
      </c>
    </row>
    <row r="190" spans="1:16" x14ac:dyDescent="0.25">
      <c r="A190">
        <v>19</v>
      </c>
      <c r="C190">
        <v>32.009316936612976</v>
      </c>
      <c r="D190" s="41">
        <f t="shared" si="83"/>
        <v>31.997079984003499</v>
      </c>
      <c r="E190" s="41">
        <f t="shared" si="84"/>
        <v>32.091255984003496</v>
      </c>
      <c r="F190" s="41">
        <v>5.75</v>
      </c>
      <c r="G190" s="41">
        <f t="shared" si="85"/>
        <v>143.75</v>
      </c>
      <c r="H190" s="41">
        <f t="shared" si="86"/>
        <v>0.22324351988871996</v>
      </c>
      <c r="I190">
        <v>4022552.8399999985</v>
      </c>
      <c r="J190" s="41">
        <f t="shared" si="88"/>
        <v>1548.6828433999995</v>
      </c>
      <c r="K190" s="41">
        <f t="shared" si="87"/>
        <v>9.3857507359400802</v>
      </c>
      <c r="L190" s="41">
        <f t="shared" si="89"/>
        <v>4.2494580120582252E-5</v>
      </c>
      <c r="M190" s="41">
        <f t="shared" si="90"/>
        <v>0.13162125434046482</v>
      </c>
      <c r="N190" s="41">
        <f t="shared" si="91"/>
        <v>0.31306597562427968</v>
      </c>
      <c r="P190" s="41">
        <f t="shared" si="92"/>
        <v>25.785192172172135</v>
      </c>
    </row>
    <row r="191" spans="1:16" x14ac:dyDescent="0.25">
      <c r="A191">
        <v>20</v>
      </c>
      <c r="C191">
        <v>35.990986602679335</v>
      </c>
      <c r="D191" s="41">
        <f t="shared" si="83"/>
        <v>35.978749650069858</v>
      </c>
      <c r="E191" s="41">
        <f t="shared" si="84"/>
        <v>36.072925650069855</v>
      </c>
      <c r="F191" s="41">
        <v>5.75</v>
      </c>
      <c r="G191" s="41">
        <f t="shared" si="85"/>
        <v>143.75</v>
      </c>
      <c r="H191" s="41">
        <f t="shared" si="86"/>
        <v>0.2509420914787468</v>
      </c>
      <c r="I191">
        <v>4093727.0999999987</v>
      </c>
      <c r="J191" s="41">
        <f t="shared" si="88"/>
        <v>1576.0849334999996</v>
      </c>
      <c r="K191" s="41">
        <f t="shared" si="87"/>
        <v>10.550272280911113</v>
      </c>
      <c r="L191" s="41">
        <f t="shared" si="89"/>
        <v>4.4660368607986964E-5</v>
      </c>
      <c r="M191" s="41">
        <f t="shared" si="90"/>
        <v>0.14077706817520921</v>
      </c>
      <c r="N191" s="41">
        <f t="shared" si="91"/>
        <v>0.33484341426951614</v>
      </c>
      <c r="P191" s="41">
        <f t="shared" si="92"/>
        <v>26.241430298757479</v>
      </c>
    </row>
    <row r="192" spans="1:16" x14ac:dyDescent="0.25">
      <c r="A192">
        <v>21</v>
      </c>
      <c r="C192">
        <v>39.808527494501192</v>
      </c>
      <c r="D192" s="41">
        <f t="shared" si="83"/>
        <v>39.796290541891715</v>
      </c>
      <c r="E192" s="41">
        <f t="shared" si="84"/>
        <v>39.890466541891712</v>
      </c>
      <c r="F192" s="41">
        <v>5.75</v>
      </c>
      <c r="G192" s="41">
        <f t="shared" si="85"/>
        <v>143.75</v>
      </c>
      <c r="H192" s="41">
        <f t="shared" si="86"/>
        <v>0.27749889768272495</v>
      </c>
      <c r="I192">
        <v>4313478.6099999985</v>
      </c>
      <c r="J192" s="41">
        <f t="shared" si="88"/>
        <v>1660.6892648499995</v>
      </c>
      <c r="K192" s="41">
        <f t="shared" si="87"/>
        <v>11.666790975372892</v>
      </c>
      <c r="L192" s="41">
        <f t="shared" si="89"/>
        <v>4.5752180543232747E-5</v>
      </c>
      <c r="M192" s="41">
        <f t="shared" si="90"/>
        <v>0.15196031014325129</v>
      </c>
      <c r="N192" s="41">
        <f t="shared" si="91"/>
        <v>0.36144316500818635</v>
      </c>
      <c r="P192" s="41">
        <f t="shared" si="92"/>
        <v>27.650071810965681</v>
      </c>
    </row>
    <row r="193" spans="1:16" x14ac:dyDescent="0.25">
      <c r="E193" s="41"/>
      <c r="G193" s="41"/>
      <c r="H193" s="41"/>
      <c r="J193" s="41"/>
      <c r="K193" s="41"/>
      <c r="L193" s="41"/>
      <c r="M193" s="41"/>
      <c r="N193" s="41"/>
      <c r="P193" s="41"/>
    </row>
    <row r="194" spans="1:16" x14ac:dyDescent="0.25">
      <c r="A194" s="41"/>
      <c r="E194" s="41"/>
      <c r="G194" s="41"/>
      <c r="H194" s="41"/>
      <c r="J194" s="41"/>
      <c r="K194" s="41"/>
      <c r="L194" s="41"/>
      <c r="M194" s="41"/>
      <c r="N194" s="41"/>
      <c r="P194" s="41"/>
    </row>
    <row r="195" spans="1:16" x14ac:dyDescent="0.25">
      <c r="A195" s="30" t="s">
        <v>38</v>
      </c>
      <c r="B195" s="30"/>
      <c r="C195" s="34"/>
      <c r="D195" s="34"/>
      <c r="E195" s="41"/>
      <c r="F195" s="34"/>
      <c r="G195" s="41"/>
      <c r="H195" s="41"/>
      <c r="I195" s="2"/>
      <c r="J195" s="41"/>
      <c r="K195" s="41"/>
      <c r="L195" s="41"/>
      <c r="M195" s="41"/>
      <c r="N195" s="41"/>
      <c r="O195" s="34"/>
      <c r="P195" s="41"/>
    </row>
    <row r="196" spans="1:16" ht="18.75" x14ac:dyDescent="0.35">
      <c r="A196" s="30" t="s">
        <v>0</v>
      </c>
      <c r="B196" s="30"/>
      <c r="C196" s="30" t="s">
        <v>1</v>
      </c>
      <c r="D196" s="30" t="s">
        <v>2</v>
      </c>
      <c r="E196" s="38" t="s">
        <v>3</v>
      </c>
      <c r="F196" s="30" t="s">
        <v>5</v>
      </c>
      <c r="G196" s="38" t="s">
        <v>6</v>
      </c>
      <c r="H196" s="38" t="s">
        <v>7</v>
      </c>
      <c r="I196" s="30" t="s">
        <v>4</v>
      </c>
      <c r="J196" s="38" t="s">
        <v>21</v>
      </c>
      <c r="K196" s="38" t="s">
        <v>16</v>
      </c>
      <c r="L196" s="38" t="s">
        <v>17</v>
      </c>
      <c r="M196" s="38" t="s">
        <v>18</v>
      </c>
      <c r="N196" s="38" t="s">
        <v>19</v>
      </c>
      <c r="O196" s="34"/>
      <c r="P196" s="38" t="s">
        <v>23</v>
      </c>
    </row>
    <row r="197" spans="1:16" x14ac:dyDescent="0.25">
      <c r="A197" s="37">
        <v>0</v>
      </c>
      <c r="C197" s="36">
        <v>0.11523395320935864</v>
      </c>
      <c r="D197">
        <f t="shared" ref="D197:D213" si="93">C197-$C$197</f>
        <v>0</v>
      </c>
      <c r="E197" s="36">
        <f>D197+($E$2*9.81)</f>
        <v>9.4175999999999996E-2</v>
      </c>
      <c r="F197">
        <v>5.75</v>
      </c>
      <c r="G197" s="37">
        <f t="shared" ref="G197:G212" si="94">F197*$E$3</f>
        <v>143.75</v>
      </c>
      <c r="H197" s="37">
        <f>E197/G197</f>
        <v>6.5513739130434784E-4</v>
      </c>
      <c r="I197" s="3">
        <v>49096.38</v>
      </c>
      <c r="J197" s="36">
        <f>(I197*$E$5)/1000</f>
        <v>18.9021063</v>
      </c>
      <c r="K197" s="37">
        <f>E197*($E$11/G197)</f>
        <v>2.754371663572458E-2</v>
      </c>
      <c r="L197" s="37">
        <f>SQRT((4*$E$6*K197)/(2*3.14*$E$7*J197))</f>
        <v>2.0837060286304622E-5</v>
      </c>
      <c r="M197" s="37">
        <f>2*L197*J197</f>
        <v>7.8772865702247681E-4</v>
      </c>
      <c r="N197" s="37">
        <f t="shared" ref="N197:N213" si="95">(M197/$E$11)*100</f>
        <v>1.8736414705487938E-3</v>
      </c>
      <c r="P197" s="37">
        <f>(J197/$E$12)*100</f>
        <v>0.31471546642454767</v>
      </c>
    </row>
    <row r="198" spans="1:16" x14ac:dyDescent="0.25">
      <c r="A198" s="37">
        <v>2</v>
      </c>
      <c r="C198" s="35">
        <v>0.75000379924014982</v>
      </c>
      <c r="D198" s="37">
        <f t="shared" si="93"/>
        <v>0.63476984603079112</v>
      </c>
      <c r="E198" s="37">
        <f t="shared" ref="E198:E212" si="96">D198+($E$2*9.81)</f>
        <v>0.72894584603079116</v>
      </c>
      <c r="F198" s="37">
        <v>5.75</v>
      </c>
      <c r="G198" s="37">
        <f t="shared" si="94"/>
        <v>143.75</v>
      </c>
      <c r="H198" s="37">
        <f t="shared" ref="H198:H213" si="97">E198/G198</f>
        <v>5.0709276245620256E-3</v>
      </c>
      <c r="I198" s="3">
        <v>131361.78000000003</v>
      </c>
      <c r="J198" s="37">
        <f t="shared" ref="J198:J212" si="98">(I198*$E$5)/1000</f>
        <v>50.574285300000014</v>
      </c>
      <c r="K198" s="37">
        <f t="shared" ref="K198:K212" si="99">E198*($E$11/G198)</f>
        <v>0.21319527083185344</v>
      </c>
      <c r="L198" s="37">
        <f>SQRT((4*$E$6*K198)/(2*3.14*$E$7*J198))</f>
        <v>3.5440854484888316E-5</v>
      </c>
      <c r="M198" s="37">
        <f>2*L198*J198</f>
        <v>3.5847917719890533E-3</v>
      </c>
      <c r="N198" s="37">
        <f t="shared" si="95"/>
        <v>8.5265585648093747E-3</v>
      </c>
      <c r="P198" s="37">
        <f t="shared" ref="P198:P235" si="100">(J198/$E$12)*100</f>
        <v>0.84204953324580822</v>
      </c>
    </row>
    <row r="199" spans="1:16" x14ac:dyDescent="0.25">
      <c r="A199" s="37">
        <v>4</v>
      </c>
      <c r="C199" s="37">
        <v>1.551095580883828</v>
      </c>
      <c r="D199" s="37">
        <f t="shared" si="93"/>
        <v>1.4358616276744693</v>
      </c>
      <c r="E199" s="37">
        <f t="shared" si="96"/>
        <v>1.5300376276744694</v>
      </c>
      <c r="F199" s="37">
        <v>5.75</v>
      </c>
      <c r="G199" s="37">
        <f t="shared" si="94"/>
        <v>143.75</v>
      </c>
      <c r="H199" s="37">
        <f t="shared" si="97"/>
        <v>1.0643740018605005E-2</v>
      </c>
      <c r="I199" s="3">
        <v>255781.67000000004</v>
      </c>
      <c r="J199" s="37">
        <f t="shared" si="98"/>
        <v>98.475942950000018</v>
      </c>
      <c r="K199" s="37">
        <f t="shared" si="99"/>
        <v>0.4474911108845338</v>
      </c>
      <c r="L199" s="37">
        <f t="shared" ref="L199:L235" si="101">SQRT((4*$E$6*K199)/(2*3.14*$E$7*J199))</f>
        <v>3.679657614987094E-5</v>
      </c>
      <c r="M199" s="37">
        <f t="shared" ref="M199:M235" si="102">2*L199*J199</f>
        <v>7.2471550673800442E-3</v>
      </c>
      <c r="N199" s="37">
        <f t="shared" si="95"/>
        <v>1.723762383999906E-2</v>
      </c>
      <c r="P199" s="37">
        <f t="shared" si="100"/>
        <v>1.6396004670181337</v>
      </c>
    </row>
    <row r="200" spans="1:16" x14ac:dyDescent="0.25">
      <c r="A200" s="37">
        <v>6</v>
      </c>
      <c r="C200">
        <v>2.3378858228354469</v>
      </c>
      <c r="D200" s="37">
        <f t="shared" si="93"/>
        <v>2.2226518696260884</v>
      </c>
      <c r="E200" s="37">
        <f t="shared" si="96"/>
        <v>2.3168278696260884</v>
      </c>
      <c r="F200" s="37">
        <v>5.75</v>
      </c>
      <c r="G200" s="37">
        <f t="shared" si="94"/>
        <v>143.75</v>
      </c>
      <c r="H200" s="37">
        <f t="shared" si="97"/>
        <v>1.6117063440877138E-2</v>
      </c>
      <c r="I200" s="3">
        <v>415906.67000000004</v>
      </c>
      <c r="J200" s="37">
        <f t="shared" si="98"/>
        <v>160.12406795000004</v>
      </c>
      <c r="K200" s="37">
        <f t="shared" si="99"/>
        <v>0.67760417022097386</v>
      </c>
      <c r="L200" s="37">
        <f t="shared" si="101"/>
        <v>3.5509127849960905E-5</v>
      </c>
      <c r="M200" s="37">
        <f t="shared" si="102"/>
        <v>1.1371732001384758E-2</v>
      </c>
      <c r="N200" s="37">
        <f t="shared" si="95"/>
        <v>2.7048081188638742E-2</v>
      </c>
      <c r="P200" s="37">
        <f t="shared" si="100"/>
        <v>2.6660267343158592</v>
      </c>
    </row>
    <row r="201" spans="1:16" x14ac:dyDescent="0.25">
      <c r="A201" s="37">
        <v>8</v>
      </c>
      <c r="C201">
        <v>3.1883751249749857</v>
      </c>
      <c r="D201" s="37">
        <f t="shared" si="93"/>
        <v>3.0731411717656272</v>
      </c>
      <c r="E201" s="37">
        <f t="shared" si="96"/>
        <v>3.1673171717656272</v>
      </c>
      <c r="F201" s="37">
        <v>5.75</v>
      </c>
      <c r="G201" s="37">
        <f t="shared" si="94"/>
        <v>143.75</v>
      </c>
      <c r="H201" s="37">
        <f t="shared" si="97"/>
        <v>2.2033510760108711E-2</v>
      </c>
      <c r="I201" s="3">
        <v>528344.29</v>
      </c>
      <c r="J201" s="37">
        <f t="shared" si="98"/>
        <v>203.41255165000001</v>
      </c>
      <c r="K201" s="37">
        <f t="shared" si="99"/>
        <v>0.92634733556932802</v>
      </c>
      <c r="L201" s="37">
        <f t="shared" si="101"/>
        <v>3.6836497726764708E-5</v>
      </c>
      <c r="M201" s="37">
        <f t="shared" si="102"/>
        <v>1.4986011992901269E-2</v>
      </c>
      <c r="N201" s="37">
        <f t="shared" si="95"/>
        <v>3.5644778563946808E-2</v>
      </c>
      <c r="P201" s="37">
        <f t="shared" si="100"/>
        <v>3.3867694453256325</v>
      </c>
    </row>
    <row r="202" spans="1:16" x14ac:dyDescent="0.25">
      <c r="A202" s="37">
        <v>10</v>
      </c>
      <c r="C202">
        <v>3.9098888222355255</v>
      </c>
      <c r="D202" s="37">
        <f t="shared" si="93"/>
        <v>3.794654869026167</v>
      </c>
      <c r="E202" s="37">
        <f t="shared" si="96"/>
        <v>3.888830869026167</v>
      </c>
      <c r="F202" s="37">
        <v>5.75</v>
      </c>
      <c r="G202" s="37">
        <f t="shared" si="94"/>
        <v>143.75</v>
      </c>
      <c r="H202" s="37">
        <f t="shared" si="97"/>
        <v>2.705273648018203E-2</v>
      </c>
      <c r="I202" s="3">
        <v>698429.81</v>
      </c>
      <c r="J202" s="37">
        <f t="shared" si="98"/>
        <v>268.89547685000002</v>
      </c>
      <c r="K202" s="37">
        <f t="shared" si="99"/>
        <v>1.1373689209641025</v>
      </c>
      <c r="L202" s="37">
        <f t="shared" si="101"/>
        <v>3.5500887304406249E-5</v>
      </c>
      <c r="M202" s="37">
        <f t="shared" si="102"/>
        <v>1.9092056040632861E-2</v>
      </c>
      <c r="N202" s="37">
        <f t="shared" si="95"/>
        <v>4.5411154763601087E-2</v>
      </c>
      <c r="P202" s="37">
        <f t="shared" si="100"/>
        <v>4.477044202015672</v>
      </c>
    </row>
    <row r="203" spans="1:16" x14ac:dyDescent="0.25">
      <c r="A203" s="37">
        <v>11</v>
      </c>
      <c r="C203">
        <v>4.9236608678263902</v>
      </c>
      <c r="D203" s="37">
        <f t="shared" si="93"/>
        <v>4.8084269146170318</v>
      </c>
      <c r="E203" s="37">
        <f t="shared" si="96"/>
        <v>4.9026029146170318</v>
      </c>
      <c r="F203" s="37">
        <v>5.75</v>
      </c>
      <c r="G203" s="37">
        <f t="shared" si="94"/>
        <v>143.75</v>
      </c>
      <c r="H203" s="37">
        <f t="shared" si="97"/>
        <v>3.4105063753857613E-2</v>
      </c>
      <c r="I203" s="3">
        <v>921119.3</v>
      </c>
      <c r="J203" s="37">
        <f t="shared" si="98"/>
        <v>354.63093050000003</v>
      </c>
      <c r="K203" s="37">
        <f t="shared" si="99"/>
        <v>1.4338674976394086</v>
      </c>
      <c r="L203" s="37">
        <f t="shared" si="101"/>
        <v>3.4709350130253054E-5</v>
      </c>
      <c r="M203" s="37">
        <f t="shared" si="102"/>
        <v>2.4618018267483877E-2</v>
      </c>
      <c r="N203" s="37">
        <f t="shared" si="95"/>
        <v>5.8554858373483593E-2</v>
      </c>
      <c r="P203" s="37">
        <f t="shared" si="100"/>
        <v>5.9045186250422717</v>
      </c>
    </row>
    <row r="204" spans="1:16" x14ac:dyDescent="0.25">
      <c r="A204" s="37">
        <v>12</v>
      </c>
      <c r="C204">
        <v>5.9628798240351522</v>
      </c>
      <c r="D204" s="37">
        <f t="shared" si="93"/>
        <v>5.8476458708257937</v>
      </c>
      <c r="E204" s="37">
        <f t="shared" si="96"/>
        <v>5.9418218708257937</v>
      </c>
      <c r="F204" s="37">
        <v>5.75</v>
      </c>
      <c r="G204" s="37">
        <f t="shared" si="94"/>
        <v>143.75</v>
      </c>
      <c r="H204" s="37">
        <f t="shared" si="97"/>
        <v>4.1334413014440304E-2</v>
      </c>
      <c r="I204" s="3">
        <v>1069021.29</v>
      </c>
      <c r="J204" s="37">
        <f t="shared" si="98"/>
        <v>411.57319665</v>
      </c>
      <c r="K204" s="37">
        <f t="shared" si="99"/>
        <v>1.7378085489931252</v>
      </c>
      <c r="L204" s="37">
        <f t="shared" si="101"/>
        <v>3.5469715140896753E-5</v>
      </c>
      <c r="M204" s="37">
        <f t="shared" si="102"/>
        <v>2.9196768089607562E-2</v>
      </c>
      <c r="N204" s="37">
        <f t="shared" si="95"/>
        <v>6.9445582575934514E-2</v>
      </c>
      <c r="P204" s="37">
        <f t="shared" si="100"/>
        <v>6.8525934885651782</v>
      </c>
    </row>
    <row r="205" spans="1:16" x14ac:dyDescent="0.25">
      <c r="A205" s="37">
        <v>13</v>
      </c>
      <c r="C205" s="37">
        <v>7.8842657468506872</v>
      </c>
      <c r="D205" s="37">
        <f t="shared" si="93"/>
        <v>7.7690317936413287</v>
      </c>
      <c r="E205" s="37">
        <f t="shared" si="96"/>
        <v>7.8632077936413287</v>
      </c>
      <c r="F205" s="37">
        <v>5.75</v>
      </c>
      <c r="G205" s="37">
        <f t="shared" si="94"/>
        <v>143.75</v>
      </c>
      <c r="H205" s="37">
        <f t="shared" si="97"/>
        <v>5.4700575955765766E-2</v>
      </c>
      <c r="I205" s="3">
        <v>1286284.3399999994</v>
      </c>
      <c r="J205" s="37">
        <f t="shared" si="98"/>
        <v>495.21947089999981</v>
      </c>
      <c r="K205" s="37">
        <f t="shared" si="99"/>
        <v>2.2997575530483121</v>
      </c>
      <c r="L205" s="37">
        <f t="shared" si="101"/>
        <v>3.7198244868575895E-5</v>
      </c>
      <c r="M205" s="37">
        <f t="shared" si="102"/>
        <v>3.6842590284449576E-2</v>
      </c>
      <c r="N205" s="37">
        <f t="shared" si="95"/>
        <v>8.7631450784471251E-2</v>
      </c>
      <c r="P205" s="37">
        <f t="shared" si="100"/>
        <v>8.2452835833862146</v>
      </c>
    </row>
    <row r="206" spans="1:16" x14ac:dyDescent="0.25">
      <c r="A206" s="37">
        <v>14</v>
      </c>
      <c r="C206" s="37">
        <v>12.007911817636428</v>
      </c>
      <c r="D206" s="37">
        <f t="shared" si="93"/>
        <v>11.892677864427069</v>
      </c>
      <c r="E206" s="37">
        <f t="shared" si="96"/>
        <v>11.986853864427069</v>
      </c>
      <c r="F206" s="37">
        <v>5.75</v>
      </c>
      <c r="G206" s="37">
        <f t="shared" si="94"/>
        <v>143.75</v>
      </c>
      <c r="H206" s="37">
        <f t="shared" si="97"/>
        <v>8.3386809491666561E-2</v>
      </c>
      <c r="I206" s="3">
        <v>1732383.0699999994</v>
      </c>
      <c r="J206" s="37">
        <f t="shared" si="98"/>
        <v>666.96748194999986</v>
      </c>
      <c r="K206" s="37">
        <f t="shared" si="99"/>
        <v>3.5058030304495764</v>
      </c>
      <c r="L206" s="37">
        <f t="shared" si="101"/>
        <v>3.9575071102145093E-5</v>
      </c>
      <c r="M206" s="37">
        <f t="shared" si="102"/>
        <v>5.2790571041979838E-2</v>
      </c>
      <c r="N206" s="37">
        <f t="shared" si="95"/>
        <v>0.12556430729850088</v>
      </c>
      <c r="P206" s="37">
        <f t="shared" si="100"/>
        <v>11.104846139390311</v>
      </c>
    </row>
    <row r="207" spans="1:16" x14ac:dyDescent="0.25">
      <c r="A207" s="37">
        <v>15</v>
      </c>
      <c r="C207">
        <v>15.780019796040943</v>
      </c>
      <c r="D207" s="37">
        <f t="shared" si="93"/>
        <v>15.664785842831584</v>
      </c>
      <c r="E207" s="37">
        <f t="shared" si="96"/>
        <v>15.758961842831583</v>
      </c>
      <c r="F207" s="37">
        <v>5.75</v>
      </c>
      <c r="G207" s="37">
        <f t="shared" si="94"/>
        <v>143.75</v>
      </c>
      <c r="H207" s="37">
        <f t="shared" si="97"/>
        <v>0.10962756064578492</v>
      </c>
      <c r="I207" s="3">
        <v>2042137.0799999996</v>
      </c>
      <c r="J207" s="37">
        <f t="shared" si="98"/>
        <v>786.22277579999979</v>
      </c>
      <c r="K207" s="37">
        <f t="shared" si="99"/>
        <v>4.609033930854455</v>
      </c>
      <c r="L207" s="37">
        <f t="shared" si="101"/>
        <v>4.1793853910416732E-5</v>
      </c>
      <c r="M207" s="37">
        <f t="shared" si="102"/>
        <v>6.5718559665655041E-2</v>
      </c>
      <c r="N207" s="37">
        <f t="shared" si="95"/>
        <v>0.15631400187944811</v>
      </c>
      <c r="P207" s="37">
        <f t="shared" si="100"/>
        <v>13.090417738233729</v>
      </c>
    </row>
    <row r="208" spans="1:16" x14ac:dyDescent="0.25">
      <c r="A208" s="37">
        <v>16</v>
      </c>
      <c r="C208">
        <v>19.977796240751385</v>
      </c>
      <c r="D208" s="37">
        <f t="shared" si="93"/>
        <v>19.862562287542026</v>
      </c>
      <c r="E208" s="37">
        <f t="shared" si="96"/>
        <v>19.956738287542027</v>
      </c>
      <c r="F208" s="37">
        <v>5.75</v>
      </c>
      <c r="G208" s="37">
        <f t="shared" si="94"/>
        <v>143.75</v>
      </c>
      <c r="H208" s="37">
        <f t="shared" si="97"/>
        <v>0.1388294837394228</v>
      </c>
      <c r="I208" s="3">
        <v>2329751.0699999994</v>
      </c>
      <c r="J208" s="37">
        <f t="shared" si="98"/>
        <v>896.95416194999973</v>
      </c>
      <c r="K208" s="37">
        <f t="shared" si="99"/>
        <v>5.8367603674542661</v>
      </c>
      <c r="L208" s="37">
        <f t="shared" si="101"/>
        <v>4.4033284874238277E-5</v>
      </c>
      <c r="M208" s="37">
        <f t="shared" si="102"/>
        <v>7.8991676264555985E-2</v>
      </c>
      <c r="N208" s="37">
        <f t="shared" si="95"/>
        <v>0.18788459599383836</v>
      </c>
      <c r="P208" s="37">
        <f t="shared" si="100"/>
        <v>14.934068349807845</v>
      </c>
    </row>
    <row r="209" spans="1:16" x14ac:dyDescent="0.25">
      <c r="A209" s="37">
        <v>17</v>
      </c>
      <c r="C209">
        <v>23.827603679264179</v>
      </c>
      <c r="D209" s="37">
        <f t="shared" si="93"/>
        <v>23.712369726054821</v>
      </c>
      <c r="E209" s="37">
        <f t="shared" si="96"/>
        <v>23.806545726054821</v>
      </c>
      <c r="F209" s="37">
        <v>5.75</v>
      </c>
      <c r="G209" s="37">
        <f t="shared" si="94"/>
        <v>143.75</v>
      </c>
      <c r="H209" s="37">
        <f t="shared" si="97"/>
        <v>0.16561075287690311</v>
      </c>
      <c r="I209" s="3">
        <v>2506339.709999999</v>
      </c>
      <c r="J209" s="37">
        <f t="shared" si="98"/>
        <v>964.94078834999971</v>
      </c>
      <c r="K209" s="37">
        <f t="shared" si="99"/>
        <v>6.9627160800402876</v>
      </c>
      <c r="L209" s="37">
        <f t="shared" si="101"/>
        <v>4.6368098757593365E-5</v>
      </c>
      <c r="M209" s="37">
        <f t="shared" si="102"/>
        <v>8.9484939538885561E-2</v>
      </c>
      <c r="N209" s="37">
        <f t="shared" si="95"/>
        <v>0.21284320713093391</v>
      </c>
      <c r="P209" s="37">
        <f t="shared" si="100"/>
        <v>16.066029121719673</v>
      </c>
    </row>
    <row r="210" spans="1:16" x14ac:dyDescent="0.25">
      <c r="A210" s="37">
        <v>18</v>
      </c>
      <c r="C210">
        <v>27.691960807838846</v>
      </c>
      <c r="D210" s="37">
        <f t="shared" si="93"/>
        <v>27.576726854629488</v>
      </c>
      <c r="E210" s="37">
        <f t="shared" si="96"/>
        <v>27.670902854629489</v>
      </c>
      <c r="F210" s="37">
        <v>5.75</v>
      </c>
      <c r="G210" s="37">
        <f t="shared" si="94"/>
        <v>143.75</v>
      </c>
      <c r="H210" s="37">
        <f t="shared" si="97"/>
        <v>0.19249323724959644</v>
      </c>
      <c r="I210" s="3">
        <v>2677618.459999999</v>
      </c>
      <c r="J210" s="37">
        <f t="shared" si="98"/>
        <v>1030.8831070999997</v>
      </c>
      <c r="K210" s="37">
        <f t="shared" si="99"/>
        <v>8.0929271500443534</v>
      </c>
      <c r="L210" s="37">
        <f t="shared" si="101"/>
        <v>4.8364687050919513E-5</v>
      </c>
      <c r="M210" s="37">
        <f t="shared" si="102"/>
        <v>9.9716677721942065E-2</v>
      </c>
      <c r="N210" s="37">
        <f t="shared" si="95"/>
        <v>0.23717977125700612</v>
      </c>
      <c r="P210" s="37">
        <f t="shared" si="100"/>
        <v>17.163952669135256</v>
      </c>
    </row>
    <row r="211" spans="1:16" x14ac:dyDescent="0.25">
      <c r="A211" s="37">
        <v>19</v>
      </c>
      <c r="C211">
        <v>31.724970005998863</v>
      </c>
      <c r="D211" s="37">
        <f t="shared" si="93"/>
        <v>31.609736052789504</v>
      </c>
      <c r="E211" s="37">
        <f t="shared" si="96"/>
        <v>31.703912052789505</v>
      </c>
      <c r="F211" s="37">
        <v>5.75</v>
      </c>
      <c r="G211" s="37">
        <f t="shared" si="94"/>
        <v>143.75</v>
      </c>
      <c r="H211" s="37">
        <f t="shared" si="97"/>
        <v>0.2205489534107096</v>
      </c>
      <c r="I211" s="3">
        <v>2994635.2299999986</v>
      </c>
      <c r="J211" s="37">
        <f t="shared" si="98"/>
        <v>1152.9345635499994</v>
      </c>
      <c r="K211" s="37">
        <f t="shared" si="99"/>
        <v>9.2724640017198361</v>
      </c>
      <c r="L211" s="37">
        <f t="shared" si="101"/>
        <v>4.8952573303985511E-5</v>
      </c>
      <c r="M211" s="37">
        <f t="shared" si="102"/>
        <v>0.11287822747375978</v>
      </c>
      <c r="N211" s="37">
        <f t="shared" si="95"/>
        <v>0.26848499953816185</v>
      </c>
      <c r="P211" s="37">
        <f t="shared" si="100"/>
        <v>19.196079694283615</v>
      </c>
    </row>
    <row r="212" spans="1:16" x14ac:dyDescent="0.25">
      <c r="A212" s="37">
        <v>20</v>
      </c>
      <c r="C212">
        <v>35.849303139371898</v>
      </c>
      <c r="D212" s="37">
        <f t="shared" si="93"/>
        <v>35.734069186162536</v>
      </c>
      <c r="E212" s="37">
        <f t="shared" si="96"/>
        <v>35.828245186162533</v>
      </c>
      <c r="F212" s="37">
        <v>5.75</v>
      </c>
      <c r="G212" s="37">
        <f t="shared" si="94"/>
        <v>143.75</v>
      </c>
      <c r="H212" s="37">
        <f t="shared" si="97"/>
        <v>0.24923996651243502</v>
      </c>
      <c r="I212" s="3">
        <v>3154166.439999999</v>
      </c>
      <c r="J212" s="37">
        <f t="shared" si="98"/>
        <v>1214.3540793999996</v>
      </c>
      <c r="K212" s="37">
        <f t="shared" si="99"/>
        <v>10.478710424767712</v>
      </c>
      <c r="L212" s="37">
        <f t="shared" si="101"/>
        <v>5.0706254209525336E-5</v>
      </c>
      <c r="M212" s="37">
        <f t="shared" si="102"/>
        <v>0.12315069330086098</v>
      </c>
      <c r="N212" s="37">
        <f t="shared" si="95"/>
        <v>0.29291843585772298</v>
      </c>
      <c r="P212" s="37">
        <f t="shared" si="100"/>
        <v>20.218699674909939</v>
      </c>
    </row>
    <row r="213" spans="1:16" x14ac:dyDescent="0.25">
      <c r="A213" s="37">
        <v>22</v>
      </c>
      <c r="C213">
        <v>45.772720455908939</v>
      </c>
      <c r="D213" s="37">
        <f t="shared" si="93"/>
        <v>45.657486502699577</v>
      </c>
      <c r="E213" s="37">
        <f>D213+($E$2*9.81)</f>
        <v>45.751662502699574</v>
      </c>
      <c r="F213" s="37">
        <v>5.75</v>
      </c>
      <c r="G213" s="37">
        <f>F213*$E$3</f>
        <v>143.75</v>
      </c>
      <c r="H213" s="37">
        <f t="shared" si="97"/>
        <v>0.31827243480138834</v>
      </c>
      <c r="I213" s="3">
        <v>3423852.8199999989</v>
      </c>
      <c r="J213" s="37">
        <f>(I213*$E$5)/1000</f>
        <v>1318.1833356999998</v>
      </c>
      <c r="K213" s="37">
        <f>E213*($E$11/G213)</f>
        <v>13.381018811455814</v>
      </c>
      <c r="L213" s="37">
        <f t="shared" si="101"/>
        <v>5.4996741662469361E-5</v>
      </c>
      <c r="M213" s="37">
        <f t="shared" si="102"/>
        <v>0.14499157675453003</v>
      </c>
      <c r="N213" s="37">
        <f t="shared" si="95"/>
        <v>0.34486777733134372</v>
      </c>
      <c r="P213" s="37">
        <f t="shared" si="100"/>
        <v>21.94743150544506</v>
      </c>
    </row>
    <row r="214" spans="1:16" x14ac:dyDescent="0.25">
      <c r="J214" s="41"/>
      <c r="K214" s="37"/>
      <c r="L214" s="41"/>
      <c r="M214" s="41"/>
      <c r="N214" s="41"/>
      <c r="P214" s="41"/>
    </row>
    <row r="215" spans="1:16" x14ac:dyDescent="0.25">
      <c r="A215" s="37"/>
      <c r="J215" s="41"/>
      <c r="K215" s="37"/>
      <c r="L215" s="41"/>
      <c r="M215" s="41"/>
      <c r="N215" s="41"/>
      <c r="P215" s="41"/>
    </row>
    <row r="216" spans="1:16" x14ac:dyDescent="0.25">
      <c r="A216" s="38" t="s">
        <v>28</v>
      </c>
      <c r="I216" s="2"/>
      <c r="J216" s="41"/>
      <c r="K216" s="37"/>
      <c r="L216" s="41"/>
      <c r="M216" s="41"/>
      <c r="N216" s="41"/>
      <c r="P216" s="41"/>
    </row>
    <row r="217" spans="1:16" ht="18.75" x14ac:dyDescent="0.35">
      <c r="A217" s="38" t="s">
        <v>0</v>
      </c>
      <c r="B217" s="38"/>
      <c r="C217" s="38" t="s">
        <v>1</v>
      </c>
      <c r="D217" s="38" t="s">
        <v>2</v>
      </c>
      <c r="E217" s="38" t="s">
        <v>3</v>
      </c>
      <c r="F217" s="38" t="s">
        <v>5</v>
      </c>
      <c r="G217" s="38" t="s">
        <v>6</v>
      </c>
      <c r="H217" s="38" t="s">
        <v>7</v>
      </c>
      <c r="I217" s="38" t="s">
        <v>4</v>
      </c>
      <c r="J217" s="38" t="s">
        <v>21</v>
      </c>
      <c r="K217" s="38" t="s">
        <v>16</v>
      </c>
      <c r="L217" s="38" t="s">
        <v>17</v>
      </c>
      <c r="M217" s="38" t="s">
        <v>18</v>
      </c>
      <c r="N217" s="38" t="s">
        <v>19</v>
      </c>
      <c r="O217" s="37"/>
      <c r="P217" s="38" t="s">
        <v>23</v>
      </c>
    </row>
    <row r="218" spans="1:16" x14ac:dyDescent="0.25">
      <c r="A218" s="37">
        <v>0</v>
      </c>
      <c r="C218">
        <v>6.4028594281143408E-2</v>
      </c>
      <c r="D218">
        <f t="shared" ref="D218:D235" si="103">C218-$C$218</f>
        <v>0</v>
      </c>
      <c r="E218">
        <f>D218+($E$2*9.81)</f>
        <v>9.4175999999999996E-2</v>
      </c>
      <c r="F218">
        <v>5.75</v>
      </c>
      <c r="G218">
        <f>F218*$E$3</f>
        <v>143.75</v>
      </c>
      <c r="H218">
        <f>E218/G218</f>
        <v>6.5513739130434784E-4</v>
      </c>
      <c r="I218">
        <v>105074.65000000002</v>
      </c>
      <c r="J218" s="41">
        <f t="shared" ref="J218:J235" si="104">(I218*$E$5)/1000</f>
        <v>40.45374025000001</v>
      </c>
      <c r="K218" s="37">
        <f t="shared" ref="K218:K235" si="105">E218*($E$11/G218)</f>
        <v>2.754371663572458E-2</v>
      </c>
      <c r="L218" s="41">
        <f t="shared" si="101"/>
        <v>1.4243352025742939E-5</v>
      </c>
      <c r="M218" s="41">
        <f t="shared" si="102"/>
        <v>1.1523937262774325E-3</v>
      </c>
      <c r="N218" s="41">
        <f t="shared" ref="N218:N235" si="106">(M218/$E$11)*100</f>
        <v>2.7410106979160512E-3</v>
      </c>
      <c r="P218" s="41">
        <f t="shared" si="100"/>
        <v>0.67354492294841506</v>
      </c>
    </row>
    <row r="219" spans="1:16" x14ac:dyDescent="0.25">
      <c r="A219" s="37">
        <v>2</v>
      </c>
      <c r="C219">
        <v>0.92908818236352686</v>
      </c>
      <c r="D219" s="37">
        <f t="shared" si="103"/>
        <v>0.86505958808238348</v>
      </c>
      <c r="E219" s="37">
        <f t="shared" ref="E219:E235" si="107">D219+($E$2*9.81)</f>
        <v>0.95923558808238352</v>
      </c>
      <c r="F219" s="37">
        <v>5.75</v>
      </c>
      <c r="G219" s="37">
        <f t="shared" ref="G219:G235" si="108">F219*$E$3</f>
        <v>143.75</v>
      </c>
      <c r="H219" s="37">
        <f t="shared" ref="H219:H235" si="109">E219/G219</f>
        <v>6.6729432214426678E-3</v>
      </c>
      <c r="I219">
        <v>435695.80000000005</v>
      </c>
      <c r="J219" s="41">
        <f t="shared" si="104"/>
        <v>167.74288300000003</v>
      </c>
      <c r="K219" s="37">
        <f t="shared" si="105"/>
        <v>0.28054826309297271</v>
      </c>
      <c r="L219" s="41">
        <f t="shared" si="101"/>
        <v>2.2323486220970448E-5</v>
      </c>
      <c r="M219" s="41">
        <f t="shared" si="102"/>
        <v>7.4892118746327178E-3</v>
      </c>
      <c r="N219" s="41">
        <f t="shared" si="106"/>
        <v>1.7813364824225183E-2</v>
      </c>
      <c r="P219" s="41">
        <f t="shared" si="100"/>
        <v>2.7928781493913903</v>
      </c>
    </row>
    <row r="220" spans="1:16" x14ac:dyDescent="0.25">
      <c r="A220" s="37">
        <v>4</v>
      </c>
      <c r="C220">
        <v>1.6366596680663958</v>
      </c>
      <c r="D220" s="37">
        <f t="shared" si="103"/>
        <v>1.5726310737852525</v>
      </c>
      <c r="E220" s="37">
        <f t="shared" si="107"/>
        <v>1.6668070737852525</v>
      </c>
      <c r="F220" s="37">
        <v>5.75</v>
      </c>
      <c r="G220" s="37">
        <f t="shared" si="108"/>
        <v>143.75</v>
      </c>
      <c r="H220" s="37">
        <f t="shared" si="109"/>
        <v>1.1595179643723495E-2</v>
      </c>
      <c r="I220">
        <v>648172.31999999995</v>
      </c>
      <c r="J220" s="41">
        <f t="shared" si="104"/>
        <v>249.54634319999997</v>
      </c>
      <c r="K220" s="37">
        <f t="shared" si="105"/>
        <v>0.48749216070721063</v>
      </c>
      <c r="L220" s="41">
        <f t="shared" si="101"/>
        <v>2.4126175961654233E-5</v>
      </c>
      <c r="M220" s="41">
        <f t="shared" si="102"/>
        <v>1.2041197973261112E-2</v>
      </c>
      <c r="N220" s="41">
        <f t="shared" si="106"/>
        <v>2.864043052980661E-2</v>
      </c>
      <c r="P220" s="41">
        <f t="shared" si="100"/>
        <v>4.1548858390838825</v>
      </c>
    </row>
    <row r="221" spans="1:16" x14ac:dyDescent="0.25">
      <c r="A221" s="37">
        <v>6</v>
      </c>
      <c r="C221">
        <v>2.384302739452123</v>
      </c>
      <c r="D221" s="37">
        <f t="shared" si="103"/>
        <v>2.3202741451709796</v>
      </c>
      <c r="E221" s="37">
        <f t="shared" si="107"/>
        <v>2.4144501451709797</v>
      </c>
      <c r="F221" s="37">
        <v>5.75</v>
      </c>
      <c r="G221" s="37">
        <f t="shared" si="108"/>
        <v>143.75</v>
      </c>
      <c r="H221" s="37">
        <f t="shared" si="109"/>
        <v>1.6796174922928554E-2</v>
      </c>
      <c r="I221">
        <v>777713.46000000008</v>
      </c>
      <c r="J221" s="41">
        <f t="shared" si="104"/>
        <v>299.41968210000005</v>
      </c>
      <c r="K221" s="37">
        <f t="shared" si="105"/>
        <v>0.70615582133105614</v>
      </c>
      <c r="L221" s="41">
        <f t="shared" si="101"/>
        <v>2.6508818846546241E-5</v>
      </c>
      <c r="M221" s="41">
        <f t="shared" si="102"/>
        <v>1.5874524223758731E-2</v>
      </c>
      <c r="N221" s="41">
        <f t="shared" si="106"/>
        <v>3.7758137457245093E-2</v>
      </c>
      <c r="P221" s="41">
        <f t="shared" si="100"/>
        <v>4.9852647854800871</v>
      </c>
    </row>
    <row r="222" spans="1:16" x14ac:dyDescent="0.25">
      <c r="A222" s="37">
        <v>8</v>
      </c>
      <c r="C222">
        <v>3.2075772845430808</v>
      </c>
      <c r="D222" s="37">
        <f t="shared" si="103"/>
        <v>3.1435486902619374</v>
      </c>
      <c r="E222" s="37">
        <f t="shared" si="107"/>
        <v>3.2377246902619374</v>
      </c>
      <c r="F222" s="37">
        <v>5.75</v>
      </c>
      <c r="G222" s="37">
        <f t="shared" si="108"/>
        <v>143.75</v>
      </c>
      <c r="H222" s="37">
        <f t="shared" si="109"/>
        <v>2.252330219312652E-2</v>
      </c>
      <c r="I222" s="41">
        <v>975708.71000000008</v>
      </c>
      <c r="J222" s="41">
        <f t="shared" si="104"/>
        <v>375.64785335000005</v>
      </c>
      <c r="K222" s="37">
        <f t="shared" si="105"/>
        <v>0.94693946879315261</v>
      </c>
      <c r="L222" s="41">
        <f t="shared" si="101"/>
        <v>2.7406333074393212E-5</v>
      </c>
      <c r="M222" s="41">
        <f t="shared" si="102"/>
        <v>2.0590260375181836E-2</v>
      </c>
      <c r="N222" s="41">
        <f t="shared" si="106"/>
        <v>4.8974688662669102E-2</v>
      </c>
      <c r="P222" s="41">
        <f t="shared" si="100"/>
        <v>6.2544452719761363</v>
      </c>
    </row>
    <row r="223" spans="1:16" x14ac:dyDescent="0.25">
      <c r="A223" s="37">
        <v>10</v>
      </c>
      <c r="C223">
        <v>3.9537020595880765</v>
      </c>
      <c r="D223" s="37">
        <f t="shared" si="103"/>
        <v>3.8896734653069331</v>
      </c>
      <c r="E223" s="37">
        <f t="shared" si="107"/>
        <v>3.9838494653069332</v>
      </c>
      <c r="F223" s="37">
        <v>5.75</v>
      </c>
      <c r="G223" s="37">
        <f t="shared" si="108"/>
        <v>143.75</v>
      </c>
      <c r="H223" s="37">
        <f t="shared" si="109"/>
        <v>2.7713735410830838E-2</v>
      </c>
      <c r="I223">
        <v>1117277.3599999996</v>
      </c>
      <c r="J223" s="41">
        <f t="shared" si="104"/>
        <v>430.15178359999987</v>
      </c>
      <c r="K223" s="37">
        <f t="shared" si="105"/>
        <v>1.1651590722880252</v>
      </c>
      <c r="L223" s="41">
        <f t="shared" si="101"/>
        <v>2.8409397569648412E-5</v>
      </c>
      <c r="M223" s="41">
        <f t="shared" si="102"/>
        <v>2.4440706071171533E-2</v>
      </c>
      <c r="N223" s="41">
        <f t="shared" si="106"/>
        <v>5.8133114818411408E-2</v>
      </c>
      <c r="P223" s="41">
        <f t="shared" si="100"/>
        <v>7.1619224366030076</v>
      </c>
    </row>
    <row r="224" spans="1:16" x14ac:dyDescent="0.25">
      <c r="A224" s="37">
        <v>11</v>
      </c>
      <c r="C224">
        <v>4.946465106978561</v>
      </c>
      <c r="D224" s="37">
        <f t="shared" si="103"/>
        <v>4.8824365126974172</v>
      </c>
      <c r="E224" s="37">
        <f t="shared" si="107"/>
        <v>4.9766125126974172</v>
      </c>
      <c r="F224" s="37">
        <v>5.75</v>
      </c>
      <c r="G224" s="37">
        <f t="shared" si="108"/>
        <v>143.75</v>
      </c>
      <c r="H224" s="37">
        <f t="shared" si="109"/>
        <v>3.4619913131808122E-2</v>
      </c>
      <c r="I224">
        <v>1251779.9599999997</v>
      </c>
      <c r="J224" s="41">
        <f t="shared" si="104"/>
        <v>481.93528459999987</v>
      </c>
      <c r="K224" s="37">
        <f t="shared" si="105"/>
        <v>1.4555131334473641</v>
      </c>
      <c r="L224" s="41">
        <f t="shared" si="101"/>
        <v>2.9998116000212789E-5</v>
      </c>
      <c r="M224" s="41">
        <f t="shared" si="102"/>
        <v>2.8914301144052721E-2</v>
      </c>
      <c r="N224" s="41">
        <f t="shared" si="106"/>
        <v>6.8773724597260388E-2</v>
      </c>
      <c r="P224" s="41">
        <f t="shared" si="100"/>
        <v>8.0241051167581308</v>
      </c>
    </row>
    <row r="225" spans="1:16" x14ac:dyDescent="0.25">
      <c r="A225" s="37">
        <v>12</v>
      </c>
      <c r="C225">
        <v>6.0898340331933163</v>
      </c>
      <c r="D225" s="37">
        <f t="shared" si="103"/>
        <v>6.0258054389121725</v>
      </c>
      <c r="E225" s="37">
        <f t="shared" si="107"/>
        <v>6.1199814389121725</v>
      </c>
      <c r="F225" s="37">
        <v>5.75</v>
      </c>
      <c r="G225" s="37">
        <f t="shared" si="108"/>
        <v>143.75</v>
      </c>
      <c r="H225" s="37">
        <f t="shared" si="109"/>
        <v>4.2573783922867287E-2</v>
      </c>
      <c r="I225">
        <v>1494312.4699999995</v>
      </c>
      <c r="J225" s="41">
        <f t="shared" si="104"/>
        <v>575.31030094999983</v>
      </c>
      <c r="K225" s="37">
        <f t="shared" si="105"/>
        <v>1.7899149950018143</v>
      </c>
      <c r="L225" s="41">
        <f t="shared" si="101"/>
        <v>3.0447063013117261E-5</v>
      </c>
      <c r="M225" s="41">
        <f t="shared" si="102"/>
        <v>3.50330179702402E-2</v>
      </c>
      <c r="N225" s="41">
        <f t="shared" si="106"/>
        <v>8.3327316738268972E-2</v>
      </c>
      <c r="P225" s="41">
        <f t="shared" si="100"/>
        <v>9.5787763981798193</v>
      </c>
    </row>
    <row r="226" spans="1:16" x14ac:dyDescent="0.25">
      <c r="A226" s="37">
        <v>13</v>
      </c>
      <c r="C226">
        <v>7.8616894621076145</v>
      </c>
      <c r="D226" s="37">
        <f t="shared" si="103"/>
        <v>7.7976608678264707</v>
      </c>
      <c r="E226" s="37">
        <f t="shared" si="107"/>
        <v>7.8918368678264708</v>
      </c>
      <c r="F226" s="37">
        <v>5.75</v>
      </c>
      <c r="G226" s="37">
        <f t="shared" si="108"/>
        <v>143.75</v>
      </c>
      <c r="H226" s="37">
        <f t="shared" si="109"/>
        <v>5.4899734732705881E-2</v>
      </c>
      <c r="I226">
        <v>1718426.4699999993</v>
      </c>
      <c r="J226" s="41">
        <f t="shared" si="104"/>
        <v>661.59419094999976</v>
      </c>
      <c r="K226" s="37">
        <f t="shared" si="105"/>
        <v>2.3081307171973382</v>
      </c>
      <c r="L226" s="41">
        <f t="shared" si="101"/>
        <v>3.2241455307693354E-5</v>
      </c>
      <c r="M226" s="41">
        <f t="shared" si="102"/>
        <v>4.2661519078687919E-2</v>
      </c>
      <c r="N226" s="41">
        <f t="shared" si="106"/>
        <v>0.1014719861082285</v>
      </c>
      <c r="P226" s="41">
        <f t="shared" si="100"/>
        <v>11.015382152866234</v>
      </c>
    </row>
    <row r="227" spans="1:16" x14ac:dyDescent="0.25">
      <c r="A227" s="37">
        <v>14</v>
      </c>
      <c r="C227">
        <v>11.986300539892003</v>
      </c>
      <c r="D227" s="37">
        <f t="shared" si="103"/>
        <v>11.922271945610859</v>
      </c>
      <c r="E227" s="37">
        <f t="shared" si="107"/>
        <v>12.016447945610858</v>
      </c>
      <c r="F227" s="37">
        <v>5.75</v>
      </c>
      <c r="G227" s="37">
        <f t="shared" si="108"/>
        <v>143.75</v>
      </c>
      <c r="H227" s="37">
        <f t="shared" si="109"/>
        <v>8.3592681360771193E-2</v>
      </c>
      <c r="I227" s="41">
        <v>2138261.6199999987</v>
      </c>
      <c r="J227" s="41">
        <f t="shared" si="104"/>
        <v>823.23072369999954</v>
      </c>
      <c r="K227" s="37">
        <f t="shared" si="105"/>
        <v>3.5144584308299383</v>
      </c>
      <c r="L227" s="41">
        <f t="shared" si="101"/>
        <v>3.5665531318414468E-5</v>
      </c>
      <c r="M227" s="41">
        <f t="shared" si="102"/>
        <v>5.8721922316806681E-2</v>
      </c>
      <c r="N227" s="41">
        <f t="shared" si="106"/>
        <v>0.13967224361113262</v>
      </c>
      <c r="P227" s="41">
        <f t="shared" si="100"/>
        <v>13.706591057752293</v>
      </c>
    </row>
    <row r="228" spans="1:16" x14ac:dyDescent="0.25">
      <c r="A228" s="37">
        <v>15</v>
      </c>
      <c r="C228">
        <v>16.181063787242625</v>
      </c>
      <c r="D228" s="37">
        <f t="shared" si="103"/>
        <v>16.117035192961481</v>
      </c>
      <c r="E228" s="37">
        <f t="shared" si="107"/>
        <v>16.211211192961482</v>
      </c>
      <c r="F228" s="37">
        <v>5.75</v>
      </c>
      <c r="G228" s="37">
        <f t="shared" si="108"/>
        <v>143.75</v>
      </c>
      <c r="H228" s="37">
        <f t="shared" si="109"/>
        <v>0.11277364308147118</v>
      </c>
      <c r="I228">
        <v>2555599.7499999986</v>
      </c>
      <c r="J228" s="41">
        <f t="shared" si="104"/>
        <v>983.90590374999942</v>
      </c>
      <c r="K228" s="37">
        <f t="shared" si="105"/>
        <v>4.7413035956169054</v>
      </c>
      <c r="L228" s="41">
        <f t="shared" si="101"/>
        <v>3.7892423037389877E-5</v>
      </c>
      <c r="M228" s="41">
        <f t="shared" si="102"/>
        <v>7.4565157467760768E-2</v>
      </c>
      <c r="N228" s="41">
        <f t="shared" si="106"/>
        <v>0.17735595886238179</v>
      </c>
      <c r="P228" s="41">
        <f t="shared" si="100"/>
        <v>16.381793674313808</v>
      </c>
    </row>
    <row r="229" spans="1:16" x14ac:dyDescent="0.25">
      <c r="A229" s="37">
        <v>16</v>
      </c>
      <c r="C229" s="37">
        <v>19.858266146770255</v>
      </c>
      <c r="D229" s="37">
        <f t="shared" si="103"/>
        <v>19.794237552489111</v>
      </c>
      <c r="E229" s="37">
        <f t="shared" si="107"/>
        <v>19.888413552489112</v>
      </c>
      <c r="F229" s="37">
        <v>5.75</v>
      </c>
      <c r="G229" s="37">
        <f t="shared" si="108"/>
        <v>143.75</v>
      </c>
      <c r="H229" s="37">
        <f t="shared" si="109"/>
        <v>0.13835418123470686</v>
      </c>
      <c r="I229">
        <v>2776256.0799999987</v>
      </c>
      <c r="J229" s="41">
        <f t="shared" si="104"/>
        <v>1068.8585907999993</v>
      </c>
      <c r="K229" s="37">
        <f t="shared" si="105"/>
        <v>5.8167773872734516</v>
      </c>
      <c r="L229" s="41">
        <f t="shared" si="101"/>
        <v>4.0268121795560211E-5</v>
      </c>
      <c r="M229" s="41">
        <f t="shared" si="102"/>
        <v>8.6081855833130452E-2</v>
      </c>
      <c r="N229" s="41">
        <f t="shared" si="106"/>
        <v>0.20474884785885564</v>
      </c>
      <c r="P229" s="41">
        <f t="shared" si="100"/>
        <v>17.796235224087514</v>
      </c>
    </row>
    <row r="230" spans="1:16" x14ac:dyDescent="0.25">
      <c r="A230" s="37">
        <v>17</v>
      </c>
      <c r="C230">
        <v>23.800785442911618</v>
      </c>
      <c r="D230" s="37">
        <f t="shared" si="103"/>
        <v>23.736756848630474</v>
      </c>
      <c r="E230" s="37">
        <f t="shared" si="107"/>
        <v>23.830932848630475</v>
      </c>
      <c r="F230" s="37">
        <v>5.75</v>
      </c>
      <c r="G230" s="37">
        <f t="shared" si="108"/>
        <v>143.75</v>
      </c>
      <c r="H230" s="37">
        <f t="shared" si="109"/>
        <v>0.16578040242525549</v>
      </c>
      <c r="I230">
        <v>2990994.5899999989</v>
      </c>
      <c r="J230" s="41">
        <f t="shared" si="104"/>
        <v>1151.5329171499995</v>
      </c>
      <c r="K230" s="37">
        <f t="shared" si="105"/>
        <v>6.9698485978132281</v>
      </c>
      <c r="L230" s="41">
        <f t="shared" si="101"/>
        <v>4.2467214088319696E-5</v>
      </c>
      <c r="M230" s="41">
        <f t="shared" si="102"/>
        <v>9.7804789844712678E-2</v>
      </c>
      <c r="N230" s="41">
        <f t="shared" si="106"/>
        <v>0.23263227589565066</v>
      </c>
      <c r="P230" s="41">
        <f t="shared" si="100"/>
        <v>19.1727426230844</v>
      </c>
    </row>
    <row r="231" spans="1:16" x14ac:dyDescent="0.25">
      <c r="A231" s="37">
        <v>18</v>
      </c>
      <c r="C231">
        <v>27.864320935813009</v>
      </c>
      <c r="D231" s="37">
        <f t="shared" si="103"/>
        <v>27.800292341531865</v>
      </c>
      <c r="E231" s="37">
        <f t="shared" si="107"/>
        <v>27.894468341531866</v>
      </c>
      <c r="F231" s="37">
        <v>5.75</v>
      </c>
      <c r="G231" s="37">
        <f t="shared" si="108"/>
        <v>143.75</v>
      </c>
      <c r="H231" s="37">
        <f t="shared" si="109"/>
        <v>0.19404847541935211</v>
      </c>
      <c r="I231">
        <v>3190155.1199999982</v>
      </c>
      <c r="J231" s="41">
        <f t="shared" si="104"/>
        <v>1228.2097211999994</v>
      </c>
      <c r="K231" s="37">
        <f t="shared" si="105"/>
        <v>8.1583134949811402</v>
      </c>
      <c r="L231" s="41">
        <f t="shared" si="101"/>
        <v>4.4488135779258528E-5</v>
      </c>
      <c r="M231" s="41">
        <f t="shared" si="102"/>
        <v>0.10928152168430168</v>
      </c>
      <c r="N231" s="41">
        <f t="shared" si="106"/>
        <v>0.25993010304631137</v>
      </c>
      <c r="P231" s="41">
        <f t="shared" si="100"/>
        <v>20.449392736439194</v>
      </c>
    </row>
    <row r="232" spans="1:16" x14ac:dyDescent="0.25">
      <c r="A232" s="37">
        <v>19</v>
      </c>
      <c r="C232">
        <v>31.853640271945714</v>
      </c>
      <c r="D232" s="37">
        <f t="shared" si="103"/>
        <v>31.789611677664571</v>
      </c>
      <c r="E232" s="37">
        <f t="shared" si="107"/>
        <v>31.883787677664571</v>
      </c>
      <c r="F232" s="37">
        <v>5.75</v>
      </c>
      <c r="G232" s="37">
        <f t="shared" si="108"/>
        <v>143.75</v>
      </c>
      <c r="H232" s="37">
        <f t="shared" si="109"/>
        <v>0.22180026210549267</v>
      </c>
      <c r="I232">
        <v>3332877.7299999986</v>
      </c>
      <c r="J232" s="41">
        <f t="shared" si="104"/>
        <v>1283.1579260499993</v>
      </c>
      <c r="K232" s="37">
        <f t="shared" si="105"/>
        <v>9.3250723439857293</v>
      </c>
      <c r="L232" s="41">
        <f t="shared" si="101"/>
        <v>4.6533565177048238E-5</v>
      </c>
      <c r="M232" s="41">
        <f t="shared" si="102"/>
        <v>0.11941982596858737</v>
      </c>
      <c r="N232" s="41">
        <f t="shared" si="106"/>
        <v>0.28404443122104245</v>
      </c>
      <c r="P232" s="41">
        <f t="shared" si="100"/>
        <v>21.364266964956215</v>
      </c>
    </row>
    <row r="233" spans="1:16" x14ac:dyDescent="0.25">
      <c r="A233" s="37">
        <v>20</v>
      </c>
      <c r="C233">
        <v>35.841282543491261</v>
      </c>
      <c r="D233" s="37">
        <f t="shared" si="103"/>
        <v>35.77725394921012</v>
      </c>
      <c r="E233" s="37">
        <f t="shared" si="107"/>
        <v>35.871429949210118</v>
      </c>
      <c r="F233" s="37">
        <v>5.75</v>
      </c>
      <c r="G233" s="37">
        <f t="shared" si="108"/>
        <v>143.75</v>
      </c>
      <c r="H233" s="37">
        <f t="shared" si="109"/>
        <v>0.24954038225537473</v>
      </c>
      <c r="I233">
        <v>3578183.9699999988</v>
      </c>
      <c r="J233" s="41">
        <f t="shared" si="104"/>
        <v>1377.6008284499997</v>
      </c>
      <c r="K233" s="37">
        <f t="shared" si="105"/>
        <v>10.49134070080793</v>
      </c>
      <c r="L233" s="41">
        <f t="shared" si="101"/>
        <v>4.7635867179741732E-5</v>
      </c>
      <c r="M233" s="41">
        <f t="shared" si="102"/>
        <v>0.13124642018149271</v>
      </c>
      <c r="N233" s="41">
        <f t="shared" si="106"/>
        <v>0.31217441884445779</v>
      </c>
      <c r="P233" s="41">
        <f t="shared" si="100"/>
        <v>22.936718289034534</v>
      </c>
    </row>
    <row r="234" spans="1:16" x14ac:dyDescent="0.25">
      <c r="A234">
        <v>21</v>
      </c>
      <c r="C234">
        <v>39.831528094381255</v>
      </c>
      <c r="D234" s="37">
        <f t="shared" si="103"/>
        <v>39.767499500100115</v>
      </c>
      <c r="E234" s="37">
        <f t="shared" si="107"/>
        <v>39.861675500100112</v>
      </c>
      <c r="F234" s="37">
        <v>5.75</v>
      </c>
      <c r="G234" s="37">
        <f t="shared" si="108"/>
        <v>143.75</v>
      </c>
      <c r="H234" s="37">
        <f t="shared" si="109"/>
        <v>0.27729861217460949</v>
      </c>
      <c r="I234">
        <v>3770846.7299999986</v>
      </c>
      <c r="J234" s="41">
        <f t="shared" si="104"/>
        <v>1451.7759910499997</v>
      </c>
      <c r="K234" s="37">
        <f t="shared" si="105"/>
        <v>11.65837044045152</v>
      </c>
      <c r="L234" s="41">
        <f t="shared" si="101"/>
        <v>4.8915826773838521E-5</v>
      </c>
      <c r="M234" s="41">
        <f t="shared" si="102"/>
        <v>0.14202964578523905</v>
      </c>
      <c r="N234" s="41">
        <f t="shared" si="106"/>
        <v>0.33782271600534952</v>
      </c>
      <c r="P234" s="41">
        <f t="shared" si="100"/>
        <v>24.171716681503405</v>
      </c>
    </row>
    <row r="235" spans="1:16" x14ac:dyDescent="0.25">
      <c r="A235" s="37">
        <v>22</v>
      </c>
      <c r="C235">
        <v>45.956174165166885</v>
      </c>
      <c r="D235" s="37">
        <f t="shared" si="103"/>
        <v>45.892145570885745</v>
      </c>
      <c r="E235" s="37">
        <f t="shared" si="107"/>
        <v>45.986321570885742</v>
      </c>
      <c r="F235" s="37">
        <v>5.75</v>
      </c>
      <c r="G235" s="37">
        <f t="shared" si="108"/>
        <v>143.75</v>
      </c>
      <c r="H235" s="37">
        <f t="shared" si="109"/>
        <v>0.31990484571050953</v>
      </c>
      <c r="I235">
        <v>3759687.2199999983</v>
      </c>
      <c r="J235" s="41">
        <f t="shared" si="104"/>
        <v>1447.4795796999995</v>
      </c>
      <c r="K235" s="37">
        <f t="shared" si="105"/>
        <v>13.449649703404113</v>
      </c>
      <c r="L235" s="41">
        <f t="shared" si="101"/>
        <v>5.261741907065522E-5</v>
      </c>
      <c r="M235" s="41">
        <f t="shared" si="102"/>
        <v>0.15232527928258152</v>
      </c>
      <c r="N235" s="41">
        <f t="shared" si="106"/>
        <v>0.36231125747736781</v>
      </c>
      <c r="P235" s="41">
        <f t="shared" si="100"/>
        <v>24.100182478885625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Chart1</vt:lpstr>
      <vt:lpstr>Chart2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dmm65</dc:creator>
  <cp:lastModifiedBy>Daniel Mulvihill</cp:lastModifiedBy>
  <dcterms:created xsi:type="dcterms:W3CDTF">2015-04-15T13:57:58Z</dcterms:created>
  <dcterms:modified xsi:type="dcterms:W3CDTF">2016-08-22T09:30:37Z</dcterms:modified>
</cp:coreProperties>
</file>