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chartsheets/sheet6.xml" ContentType="application/vnd.openxmlformats-officedocument.spreadsheetml.chartsheet+xml"/>
  <Override PartName="/xl/chartsheets/sheet7.xml" ContentType="application/vnd.openxmlformats-officedocument.spreadsheetml.chartsheet+xml"/>
  <Override PartName="/xl/chartsheets/sheet8.xml" ContentType="application/vnd.openxmlformats-officedocument.spreadsheetml.chartsheet+xml"/>
  <Override PartName="/xl/chartsheets/sheet9.xml" ContentType="application/vnd.openxmlformats-officedocument.spreadsheetml.chartsheet+xml"/>
  <Override PartName="/xl/chartsheets/sheet10.xml" ContentType="application/vnd.openxmlformats-officedocument.spreadsheetml.chartsheet+xml"/>
  <Override PartName="/xl/chartsheets/sheet11.xml" ContentType="application/vnd.openxmlformats-officedocument.spreadsheetml.chartsheet+xml"/>
  <Override PartName="/xl/chartsheets/sheet12.xml" ContentType="application/vnd.openxmlformats-officedocument.spreadsheetml.chartsheet+xml"/>
  <Override PartName="/xl/chartsheets/sheet13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6.xml" ContentType="application/vnd.openxmlformats-officedocument.drawingml.chartshapes+xml"/>
  <Override PartName="/xl/drawings/drawing7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8.xml" ContentType="application/vnd.openxmlformats-officedocument.drawingml.chartshapes+xml"/>
  <Override PartName="/xl/drawings/drawing9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10.xml" ContentType="application/vnd.openxmlformats-officedocument.drawingml.chartshapes+xml"/>
  <Override PartName="/xl/drawings/drawing11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12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13.xml" ContentType="application/vnd.openxmlformats-officedocument.drawingml.chartshapes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14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5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6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7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8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9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20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mm25x\Documents\Research\Results\ForGranta\"/>
    </mc:Choice>
  </mc:AlternateContent>
  <bookViews>
    <workbookView xWindow="0" yWindow="0" windowWidth="28800" windowHeight="14235" firstSheet="5" activeTab="13"/>
  </bookViews>
  <sheets>
    <sheet name="T1-FrictionForce" sheetId="4" r:id="rId1"/>
    <sheet name="T2-FrictionForce" sheetId="24" r:id="rId2"/>
    <sheet name="T3-FrictionForce" sheetId="25" r:id="rId3"/>
    <sheet name="T4-FrictionForce" sheetId="26" r:id="rId4"/>
    <sheet name="T5-FrictionForce" sheetId="43" r:id="rId5"/>
    <sheet name="FrictionForce" sheetId="34" r:id="rId6"/>
    <sheet name="ContactLength" sheetId="6" r:id="rId7"/>
    <sheet name="COF" sheetId="37" r:id="rId8"/>
    <sheet name="AREA_60E_Test1" sheetId="38" r:id="rId9"/>
    <sheet name="AREA_60E_Test2" sheetId="39" r:id="rId10"/>
    <sheet name="AREA_60E_Test3" sheetId="40" r:id="rId11"/>
    <sheet name="AREA_60E_Test4" sheetId="41" r:id="rId12"/>
    <sheet name="AREA_60E_Test5" sheetId="42" r:id="rId13"/>
    <sheet name="Sheet1" sheetId="1" r:id="rId14"/>
  </sheets>
  <calcPr calcId="162913"/>
</workbook>
</file>

<file path=xl/calcChain.xml><?xml version="1.0" encoding="utf-8"?>
<calcChain xmlns="http://schemas.openxmlformats.org/spreadsheetml/2006/main">
  <c r="AH122" i="1" l="1"/>
  <c r="AH123" i="1"/>
  <c r="AH124" i="1"/>
  <c r="AH125" i="1"/>
  <c r="AH126" i="1"/>
  <c r="AH127" i="1"/>
  <c r="AH128" i="1"/>
  <c r="AH129" i="1"/>
  <c r="AH130" i="1"/>
  <c r="AH131" i="1"/>
  <c r="AH132" i="1"/>
  <c r="AH133" i="1"/>
  <c r="AH134" i="1"/>
  <c r="AH121" i="1"/>
  <c r="AH193" i="1"/>
  <c r="AH175" i="1"/>
  <c r="AH157" i="1"/>
  <c r="AH139" i="1"/>
  <c r="AH96" i="1"/>
  <c r="AH97" i="1"/>
  <c r="AH98" i="1"/>
  <c r="AH99" i="1"/>
  <c r="AH100" i="1"/>
  <c r="AH101" i="1"/>
  <c r="AH102" i="1"/>
  <c r="AH103" i="1"/>
  <c r="AH104" i="1"/>
  <c r="AH105" i="1"/>
  <c r="AH106" i="1"/>
  <c r="AH107" i="1"/>
  <c r="AH108" i="1"/>
  <c r="AH95" i="1"/>
  <c r="AH29" i="1"/>
  <c r="AH52" i="1"/>
  <c r="AH59" i="1"/>
  <c r="AH78" i="1"/>
  <c r="AH79" i="1"/>
  <c r="AH80" i="1"/>
  <c r="AH81" i="1"/>
  <c r="AH82" i="1"/>
  <c r="AH83" i="1"/>
  <c r="AH84" i="1"/>
  <c r="AH85" i="1"/>
  <c r="AH86" i="1"/>
  <c r="AH87" i="1"/>
  <c r="AH88" i="1"/>
  <c r="AH89" i="1"/>
  <c r="AH90" i="1"/>
  <c r="AH77" i="1"/>
  <c r="AH41" i="1"/>
  <c r="AH24" i="1"/>
  <c r="AH25" i="1"/>
  <c r="AH26" i="1"/>
  <c r="AH27" i="1"/>
  <c r="AH28" i="1"/>
  <c r="AH30" i="1"/>
  <c r="AH31" i="1"/>
  <c r="AH32" i="1"/>
  <c r="AH33" i="1"/>
  <c r="AH34" i="1"/>
  <c r="AH35" i="1"/>
  <c r="AH36" i="1"/>
  <c r="AH23" i="1"/>
  <c r="BD193" i="1" l="1"/>
  <c r="BD175" i="1"/>
  <c r="BD157" i="1"/>
  <c r="BD139" i="1"/>
  <c r="BD121" i="1"/>
  <c r="BD95" i="1"/>
  <c r="BD77" i="1"/>
  <c r="BD59" i="1"/>
  <c r="BD41" i="1"/>
  <c r="BD23" i="1"/>
  <c r="M23" i="1"/>
  <c r="D96" i="1" l="1"/>
  <c r="D97" i="1"/>
  <c r="D98" i="1"/>
  <c r="D99" i="1"/>
  <c r="D100" i="1"/>
  <c r="D101" i="1"/>
  <c r="D102" i="1"/>
  <c r="D103" i="1"/>
  <c r="D104" i="1"/>
  <c r="D105" i="1"/>
  <c r="D106" i="1"/>
  <c r="D107" i="1"/>
  <c r="D108" i="1"/>
  <c r="D95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77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59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41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23" i="1"/>
  <c r="M194" i="1" l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193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75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57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39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21" i="1"/>
  <c r="F14" i="1"/>
  <c r="N23" i="1" s="1"/>
  <c r="M96" i="1"/>
  <c r="M97" i="1"/>
  <c r="M98" i="1"/>
  <c r="M99" i="1"/>
  <c r="M100" i="1"/>
  <c r="M101" i="1"/>
  <c r="M102" i="1"/>
  <c r="M103" i="1"/>
  <c r="N103" i="1" s="1"/>
  <c r="M104" i="1"/>
  <c r="M105" i="1"/>
  <c r="M106" i="1"/>
  <c r="M107" i="1"/>
  <c r="M108" i="1"/>
  <c r="M95" i="1"/>
  <c r="M78" i="1"/>
  <c r="M79" i="1"/>
  <c r="N79" i="1" s="1"/>
  <c r="M80" i="1"/>
  <c r="M81" i="1"/>
  <c r="M82" i="1"/>
  <c r="M83" i="1"/>
  <c r="M84" i="1"/>
  <c r="M85" i="1"/>
  <c r="M86" i="1"/>
  <c r="M87" i="1"/>
  <c r="N87" i="1" s="1"/>
  <c r="M88" i="1"/>
  <c r="M89" i="1"/>
  <c r="M90" i="1"/>
  <c r="M77" i="1"/>
  <c r="M60" i="1"/>
  <c r="M61" i="1"/>
  <c r="M62" i="1"/>
  <c r="M63" i="1"/>
  <c r="N63" i="1" s="1"/>
  <c r="M64" i="1"/>
  <c r="M65" i="1"/>
  <c r="M66" i="1"/>
  <c r="M67" i="1"/>
  <c r="M68" i="1"/>
  <c r="M69" i="1"/>
  <c r="M70" i="1"/>
  <c r="M71" i="1"/>
  <c r="N71" i="1" s="1"/>
  <c r="M72" i="1"/>
  <c r="M59" i="1"/>
  <c r="M42" i="1"/>
  <c r="M43" i="1"/>
  <c r="M44" i="1"/>
  <c r="M45" i="1"/>
  <c r="M46" i="1"/>
  <c r="M47" i="1"/>
  <c r="N47" i="1" s="1"/>
  <c r="M48" i="1"/>
  <c r="M49" i="1"/>
  <c r="M50" i="1"/>
  <c r="M51" i="1"/>
  <c r="M52" i="1"/>
  <c r="M53" i="1"/>
  <c r="M54" i="1"/>
  <c r="M41" i="1"/>
  <c r="N41" i="1" s="1"/>
  <c r="M24" i="1"/>
  <c r="M25" i="1"/>
  <c r="M26" i="1"/>
  <c r="M27" i="1"/>
  <c r="M28" i="1"/>
  <c r="M29" i="1"/>
  <c r="M30" i="1"/>
  <c r="M31" i="1"/>
  <c r="N31" i="1" s="1"/>
  <c r="M32" i="1"/>
  <c r="M33" i="1"/>
  <c r="M34" i="1"/>
  <c r="M35" i="1"/>
  <c r="M36" i="1"/>
  <c r="N201" i="1" l="1"/>
  <c r="N134" i="1"/>
  <c r="N158" i="1"/>
  <c r="N98" i="1"/>
  <c r="N59" i="1"/>
  <c r="N150" i="1"/>
  <c r="N166" i="1"/>
  <c r="N32" i="1"/>
  <c r="N24" i="1"/>
  <c r="N48" i="1"/>
  <c r="N72" i="1"/>
  <c r="N64" i="1"/>
  <c r="N88" i="1"/>
  <c r="N80" i="1"/>
  <c r="N104" i="1"/>
  <c r="N96" i="1"/>
  <c r="N182" i="1"/>
  <c r="N164" i="1"/>
  <c r="N34" i="1"/>
  <c r="N53" i="1"/>
  <c r="N45" i="1"/>
  <c r="N61" i="1"/>
  <c r="N95" i="1"/>
  <c r="N36" i="1"/>
  <c r="N52" i="1"/>
  <c r="N44" i="1"/>
  <c r="N60" i="1"/>
  <c r="N108" i="1"/>
  <c r="N170" i="1"/>
  <c r="N187" i="1"/>
  <c r="N203" i="1"/>
  <c r="N35" i="1"/>
  <c r="N27" i="1"/>
  <c r="N99" i="1"/>
  <c r="N128" i="1"/>
  <c r="N169" i="1"/>
  <c r="N161" i="1"/>
  <c r="N178" i="1"/>
  <c r="N202" i="1"/>
  <c r="N194" i="1"/>
  <c r="N165" i="1"/>
  <c r="N206" i="1"/>
  <c r="N131" i="1"/>
  <c r="N29" i="1"/>
  <c r="N69" i="1"/>
  <c r="N85" i="1"/>
  <c r="N101" i="1"/>
  <c r="N28" i="1"/>
  <c r="N68" i="1"/>
  <c r="N84" i="1"/>
  <c r="N100" i="1"/>
  <c r="N146" i="1"/>
  <c r="N162" i="1"/>
  <c r="N179" i="1"/>
  <c r="N195" i="1"/>
  <c r="N26" i="1"/>
  <c r="N42" i="1"/>
  <c r="N66" i="1"/>
  <c r="N121" i="1"/>
  <c r="N107" i="1"/>
  <c r="N130" i="1"/>
  <c r="N122" i="1"/>
  <c r="N148" i="1"/>
  <c r="N140" i="1"/>
  <c r="N175" i="1"/>
  <c r="N181" i="1"/>
  <c r="N129" i="1"/>
  <c r="N157" i="1"/>
  <c r="N163" i="1"/>
  <c r="N188" i="1"/>
  <c r="N180" i="1"/>
  <c r="N204" i="1"/>
  <c r="N196" i="1"/>
  <c r="N51" i="1"/>
  <c r="N43" i="1"/>
  <c r="N77" i="1"/>
  <c r="N83" i="1"/>
  <c r="N168" i="1"/>
  <c r="N160" i="1"/>
  <c r="N185" i="1"/>
  <c r="N177" i="1"/>
  <c r="N50" i="1"/>
  <c r="N90" i="1"/>
  <c r="N82" i="1"/>
  <c r="N151" i="1"/>
  <c r="N143" i="1"/>
  <c r="N200" i="1"/>
  <c r="N33" i="1"/>
  <c r="N49" i="1"/>
  <c r="N65" i="1"/>
  <c r="N126" i="1"/>
  <c r="N123" i="1"/>
  <c r="N152" i="1"/>
  <c r="N167" i="1"/>
  <c r="N159" i="1"/>
  <c r="N132" i="1"/>
  <c r="N124" i="1"/>
  <c r="N139" i="1"/>
  <c r="N145" i="1"/>
  <c r="N184" i="1"/>
  <c r="N176" i="1"/>
  <c r="N198" i="1"/>
  <c r="N30" i="1"/>
  <c r="N54" i="1"/>
  <c r="N46" i="1"/>
  <c r="N70" i="1"/>
  <c r="N62" i="1"/>
  <c r="N86" i="1"/>
  <c r="N78" i="1"/>
  <c r="N102" i="1"/>
  <c r="N144" i="1"/>
  <c r="N183" i="1"/>
  <c r="N105" i="1"/>
  <c r="N97" i="1"/>
  <c r="N67" i="1"/>
  <c r="N106" i="1"/>
  <c r="N133" i="1"/>
  <c r="N125" i="1"/>
  <c r="N127" i="1"/>
  <c r="N149" i="1"/>
  <c r="N141" i="1"/>
  <c r="N193" i="1"/>
  <c r="N89" i="1"/>
  <c r="N81" i="1"/>
  <c r="N25" i="1"/>
  <c r="N147" i="1"/>
  <c r="N142" i="1"/>
  <c r="N186" i="1"/>
  <c r="N205" i="1"/>
  <c r="N197" i="1"/>
  <c r="N199" i="1"/>
  <c r="Z193" i="1"/>
  <c r="AA193" i="1" s="1"/>
  <c r="Z194" i="1"/>
  <c r="Z195" i="1"/>
  <c r="Z196" i="1"/>
  <c r="Z197" i="1"/>
  <c r="Z198" i="1"/>
  <c r="Z199" i="1"/>
  <c r="Z200" i="1"/>
  <c r="Z201" i="1"/>
  <c r="Z202" i="1"/>
  <c r="Z203" i="1"/>
  <c r="Z204" i="1"/>
  <c r="Z205" i="1"/>
  <c r="Z206" i="1"/>
  <c r="AA206" i="1" s="1"/>
  <c r="Z176" i="1"/>
  <c r="Z177" i="1"/>
  <c r="Z178" i="1"/>
  <c r="Z179" i="1"/>
  <c r="Z180" i="1"/>
  <c r="Z181" i="1"/>
  <c r="Z182" i="1"/>
  <c r="Z183" i="1"/>
  <c r="Z184" i="1"/>
  <c r="Z185" i="1"/>
  <c r="Z186" i="1"/>
  <c r="Z187" i="1"/>
  <c r="AA187" i="1" s="1"/>
  <c r="Z188" i="1"/>
  <c r="Z175" i="1"/>
  <c r="AA175" i="1" s="1"/>
  <c r="Z166" i="1"/>
  <c r="Z157" i="1"/>
  <c r="Z158" i="1"/>
  <c r="Z159" i="1"/>
  <c r="Z160" i="1"/>
  <c r="AA160" i="1" s="1"/>
  <c r="Z161" i="1"/>
  <c r="Z162" i="1"/>
  <c r="Z163" i="1"/>
  <c r="Z164" i="1"/>
  <c r="Z165" i="1"/>
  <c r="Z167" i="1"/>
  <c r="Z168" i="1"/>
  <c r="Z169" i="1"/>
  <c r="AA169" i="1" s="1"/>
  <c r="Z170" i="1"/>
  <c r="Z140" i="1"/>
  <c r="Z141" i="1"/>
  <c r="Z142" i="1"/>
  <c r="Z143" i="1"/>
  <c r="Z144" i="1"/>
  <c r="Z145" i="1"/>
  <c r="Z146" i="1"/>
  <c r="Z147" i="1"/>
  <c r="Z148" i="1"/>
  <c r="Z149" i="1"/>
  <c r="Z150" i="1"/>
  <c r="Z151" i="1"/>
  <c r="Z152" i="1"/>
  <c r="AA152" i="1" s="1"/>
  <c r="Z139" i="1"/>
  <c r="AA139" i="1" s="1"/>
  <c r="Z134" i="1"/>
  <c r="AA134" i="1" s="1"/>
  <c r="Z131" i="1"/>
  <c r="Z121" i="1"/>
  <c r="AA121" i="1" s="1"/>
  <c r="Z122" i="1"/>
  <c r="Z123" i="1"/>
  <c r="Z124" i="1"/>
  <c r="Z125" i="1"/>
  <c r="Z126" i="1"/>
  <c r="Z127" i="1"/>
  <c r="Z128" i="1"/>
  <c r="Z129" i="1"/>
  <c r="Z130" i="1"/>
  <c r="Z132" i="1"/>
  <c r="Z133" i="1"/>
  <c r="Z108" i="1"/>
  <c r="AA108" i="1" s="1"/>
  <c r="Z95" i="1"/>
  <c r="AA95" i="1" s="1"/>
  <c r="Z77" i="1"/>
  <c r="AA77" i="1" s="1"/>
  <c r="Z59" i="1"/>
  <c r="AA59" i="1" s="1"/>
  <c r="Z54" i="1"/>
  <c r="AA54" i="1" s="1"/>
  <c r="Z41" i="1"/>
  <c r="AA41" i="1" s="1"/>
  <c r="Z36" i="1"/>
  <c r="AA36" i="1" s="1"/>
  <c r="Z23" i="1"/>
  <c r="AA23" i="1" s="1"/>
  <c r="Z24" i="1"/>
  <c r="Z25" i="1"/>
  <c r="Z26" i="1"/>
  <c r="Z27" i="1"/>
  <c r="Z28" i="1"/>
  <c r="Z29" i="1"/>
  <c r="Z30" i="1"/>
  <c r="Z31" i="1"/>
  <c r="Z32" i="1"/>
  <c r="Z33" i="1"/>
  <c r="Z34" i="1"/>
  <c r="Z35" i="1"/>
  <c r="Z42" i="1"/>
  <c r="Z43" i="1"/>
  <c r="Z44" i="1"/>
  <c r="Z45" i="1"/>
  <c r="Z46" i="1"/>
  <c r="Z47" i="1"/>
  <c r="Z48" i="1"/>
  <c r="Z49" i="1"/>
  <c r="Z50" i="1"/>
  <c r="Z51" i="1"/>
  <c r="Z52" i="1"/>
  <c r="Z53" i="1"/>
  <c r="Z96" i="1"/>
  <c r="Z97" i="1"/>
  <c r="Z98" i="1"/>
  <c r="Z99" i="1"/>
  <c r="Z100" i="1"/>
  <c r="Z101" i="1"/>
  <c r="Z102" i="1"/>
  <c r="Z103" i="1"/>
  <c r="Z104" i="1"/>
  <c r="Z105" i="1"/>
  <c r="Z106" i="1"/>
  <c r="Z107" i="1"/>
  <c r="E194" i="1" l="1"/>
  <c r="F194" i="1" s="1"/>
  <c r="E195" i="1"/>
  <c r="F195" i="1" s="1"/>
  <c r="E196" i="1"/>
  <c r="F196" i="1" s="1"/>
  <c r="E197" i="1"/>
  <c r="F197" i="1" s="1"/>
  <c r="E198" i="1"/>
  <c r="F198" i="1" s="1"/>
  <c r="E199" i="1"/>
  <c r="F199" i="1" s="1"/>
  <c r="E200" i="1"/>
  <c r="F200" i="1" s="1"/>
  <c r="E201" i="1"/>
  <c r="F201" i="1" s="1"/>
  <c r="E202" i="1"/>
  <c r="F202" i="1" s="1"/>
  <c r="E203" i="1"/>
  <c r="F203" i="1" s="1"/>
  <c r="E204" i="1"/>
  <c r="F204" i="1" s="1"/>
  <c r="E205" i="1"/>
  <c r="F205" i="1" s="1"/>
  <c r="E206" i="1"/>
  <c r="F206" i="1" s="1"/>
  <c r="E193" i="1"/>
  <c r="F193" i="1" s="1"/>
  <c r="O204" i="1" l="1"/>
  <c r="P204" i="1" s="1"/>
  <c r="AH204" i="1" s="1"/>
  <c r="O196" i="1"/>
  <c r="P196" i="1" s="1"/>
  <c r="AH196" i="1" s="1"/>
  <c r="O199" i="1"/>
  <c r="P199" i="1" s="1"/>
  <c r="AH199" i="1" s="1"/>
  <c r="O203" i="1"/>
  <c r="P203" i="1" s="1"/>
  <c r="AH203" i="1" s="1"/>
  <c r="O195" i="1"/>
  <c r="P195" i="1" s="1"/>
  <c r="AH195" i="1" s="1"/>
  <c r="O202" i="1"/>
  <c r="P202" i="1" s="1"/>
  <c r="AH202" i="1" s="1"/>
  <c r="O194" i="1"/>
  <c r="P194" i="1" s="1"/>
  <c r="AH194" i="1" s="1"/>
  <c r="O201" i="1"/>
  <c r="P201" i="1" s="1"/>
  <c r="AH201" i="1" s="1"/>
  <c r="O200" i="1"/>
  <c r="P200" i="1" s="1"/>
  <c r="AH200" i="1" s="1"/>
  <c r="O198" i="1"/>
  <c r="P198" i="1" s="1"/>
  <c r="AH198" i="1" s="1"/>
  <c r="O205" i="1"/>
  <c r="P205" i="1" s="1"/>
  <c r="AH205" i="1" s="1"/>
  <c r="O197" i="1"/>
  <c r="P197" i="1" s="1"/>
  <c r="AH197" i="1" s="1"/>
  <c r="O193" i="1"/>
  <c r="P193" i="1" s="1"/>
  <c r="AD193" i="1"/>
  <c r="O206" i="1"/>
  <c r="P206" i="1" s="1"/>
  <c r="AD206" i="1"/>
  <c r="E176" i="1"/>
  <c r="F176" i="1" s="1"/>
  <c r="E177" i="1"/>
  <c r="F177" i="1" s="1"/>
  <c r="E178" i="1"/>
  <c r="F178" i="1" s="1"/>
  <c r="E179" i="1"/>
  <c r="F179" i="1" s="1"/>
  <c r="E180" i="1"/>
  <c r="F180" i="1" s="1"/>
  <c r="E181" i="1"/>
  <c r="F181" i="1" s="1"/>
  <c r="E182" i="1"/>
  <c r="F182" i="1" s="1"/>
  <c r="E183" i="1"/>
  <c r="F183" i="1" s="1"/>
  <c r="E184" i="1"/>
  <c r="F184" i="1" s="1"/>
  <c r="E185" i="1"/>
  <c r="F185" i="1" s="1"/>
  <c r="E186" i="1"/>
  <c r="F186" i="1" s="1"/>
  <c r="E187" i="1"/>
  <c r="F187" i="1" s="1"/>
  <c r="E188" i="1"/>
  <c r="F188" i="1" s="1"/>
  <c r="E175" i="1"/>
  <c r="F175" i="1" s="1"/>
  <c r="O188" i="1" l="1"/>
  <c r="P188" i="1" s="1"/>
  <c r="AH188" i="1" s="1"/>
  <c r="AF193" i="1"/>
  <c r="O186" i="1"/>
  <c r="P186" i="1" s="1"/>
  <c r="AH186" i="1" s="1"/>
  <c r="O185" i="1"/>
  <c r="P185" i="1" s="1"/>
  <c r="AH185" i="1" s="1"/>
  <c r="O177" i="1"/>
  <c r="P177" i="1" s="1"/>
  <c r="AH177" i="1" s="1"/>
  <c r="O184" i="1"/>
  <c r="P184" i="1" s="1"/>
  <c r="AH184" i="1" s="1"/>
  <c r="O176" i="1"/>
  <c r="P176" i="1" s="1"/>
  <c r="AH176" i="1" s="1"/>
  <c r="O183" i="1"/>
  <c r="P183" i="1" s="1"/>
  <c r="AH183" i="1" s="1"/>
  <c r="O182" i="1"/>
  <c r="P182" i="1" s="1"/>
  <c r="AH182" i="1" s="1"/>
  <c r="AH206" i="1"/>
  <c r="AF206" i="1"/>
  <c r="O181" i="1"/>
  <c r="P181" i="1" s="1"/>
  <c r="AH181" i="1" s="1"/>
  <c r="O180" i="1"/>
  <c r="P180" i="1" s="1"/>
  <c r="AH180" i="1" s="1"/>
  <c r="O179" i="1"/>
  <c r="P179" i="1" s="1"/>
  <c r="AH179" i="1" s="1"/>
  <c r="O187" i="1"/>
  <c r="P187" i="1" s="1"/>
  <c r="AD187" i="1"/>
  <c r="O178" i="1"/>
  <c r="P178" i="1" s="1"/>
  <c r="AH178" i="1" s="1"/>
  <c r="O175" i="1"/>
  <c r="P175" i="1" s="1"/>
  <c r="AD175" i="1"/>
  <c r="E158" i="1"/>
  <c r="F158" i="1" s="1"/>
  <c r="E159" i="1"/>
  <c r="F159" i="1" s="1"/>
  <c r="E160" i="1"/>
  <c r="F160" i="1" s="1"/>
  <c r="E161" i="1"/>
  <c r="F161" i="1" s="1"/>
  <c r="E162" i="1"/>
  <c r="F162" i="1" s="1"/>
  <c r="E163" i="1"/>
  <c r="F163" i="1" s="1"/>
  <c r="E164" i="1"/>
  <c r="F164" i="1" s="1"/>
  <c r="E165" i="1"/>
  <c r="F165" i="1" s="1"/>
  <c r="E166" i="1"/>
  <c r="F166" i="1" s="1"/>
  <c r="E167" i="1"/>
  <c r="F167" i="1" s="1"/>
  <c r="E168" i="1"/>
  <c r="F168" i="1" s="1"/>
  <c r="E169" i="1"/>
  <c r="F169" i="1" s="1"/>
  <c r="E170" i="1"/>
  <c r="F170" i="1" s="1"/>
  <c r="E157" i="1"/>
  <c r="F157" i="1" s="1"/>
  <c r="O170" i="1" l="1"/>
  <c r="P170" i="1" s="1"/>
  <c r="AH170" i="1" s="1"/>
  <c r="O161" i="1"/>
  <c r="P161" i="1" s="1"/>
  <c r="AH161" i="1" s="1"/>
  <c r="O168" i="1"/>
  <c r="P168" i="1" s="1"/>
  <c r="AH168" i="1" s="1"/>
  <c r="O167" i="1"/>
  <c r="P167" i="1" s="1"/>
  <c r="AH167" i="1" s="1"/>
  <c r="O159" i="1"/>
  <c r="P159" i="1" s="1"/>
  <c r="AH159" i="1" s="1"/>
  <c r="O157" i="1"/>
  <c r="P157" i="1" s="1"/>
  <c r="O162" i="1"/>
  <c r="P162" i="1" s="1"/>
  <c r="AH162" i="1" s="1"/>
  <c r="AH187" i="1"/>
  <c r="AF187" i="1"/>
  <c r="O166" i="1"/>
  <c r="P166" i="1" s="1"/>
  <c r="AH166" i="1" s="1"/>
  <c r="O158" i="1"/>
  <c r="P158" i="1" s="1"/>
  <c r="AH158" i="1" s="1"/>
  <c r="O163" i="1"/>
  <c r="P163" i="1" s="1"/>
  <c r="AH163" i="1" s="1"/>
  <c r="O165" i="1"/>
  <c r="P165" i="1" s="1"/>
  <c r="AH165" i="1" s="1"/>
  <c r="O164" i="1"/>
  <c r="P164" i="1" s="1"/>
  <c r="AH164" i="1" s="1"/>
  <c r="AF175" i="1"/>
  <c r="O169" i="1"/>
  <c r="P169" i="1" s="1"/>
  <c r="AD169" i="1"/>
  <c r="O160" i="1"/>
  <c r="P160" i="1" s="1"/>
  <c r="AD160" i="1"/>
  <c r="E140" i="1"/>
  <c r="F140" i="1" s="1"/>
  <c r="E141" i="1"/>
  <c r="F141" i="1" s="1"/>
  <c r="E142" i="1"/>
  <c r="F142" i="1" s="1"/>
  <c r="E143" i="1"/>
  <c r="F143" i="1" s="1"/>
  <c r="E144" i="1"/>
  <c r="F144" i="1" s="1"/>
  <c r="E145" i="1"/>
  <c r="F145" i="1" s="1"/>
  <c r="E146" i="1"/>
  <c r="F146" i="1" s="1"/>
  <c r="E147" i="1"/>
  <c r="F147" i="1" s="1"/>
  <c r="E148" i="1"/>
  <c r="F148" i="1" s="1"/>
  <c r="E149" i="1"/>
  <c r="F149" i="1" s="1"/>
  <c r="E150" i="1"/>
  <c r="F150" i="1" s="1"/>
  <c r="E151" i="1"/>
  <c r="F151" i="1" s="1"/>
  <c r="E152" i="1"/>
  <c r="F152" i="1" s="1"/>
  <c r="E139" i="1"/>
  <c r="F139" i="1" s="1"/>
  <c r="O145" i="1" l="1"/>
  <c r="P145" i="1" s="1"/>
  <c r="AH145" i="1" s="1"/>
  <c r="O144" i="1"/>
  <c r="P144" i="1" s="1"/>
  <c r="AH144" i="1" s="1"/>
  <c r="O143" i="1"/>
  <c r="P143" i="1" s="1"/>
  <c r="AH143" i="1" s="1"/>
  <c r="O142" i="1"/>
  <c r="P142" i="1" s="1"/>
  <c r="AH142" i="1" s="1"/>
  <c r="O149" i="1"/>
  <c r="P149" i="1" s="1"/>
  <c r="AH149" i="1" s="1"/>
  <c r="O148" i="1"/>
  <c r="P148" i="1" s="1"/>
  <c r="AH148" i="1" s="1"/>
  <c r="O140" i="1"/>
  <c r="P140" i="1" s="1"/>
  <c r="AH140" i="1" s="1"/>
  <c r="O146" i="1"/>
  <c r="P146" i="1" s="1"/>
  <c r="AH146" i="1" s="1"/>
  <c r="AH169" i="1"/>
  <c r="AF169" i="1"/>
  <c r="O151" i="1"/>
  <c r="P151" i="1" s="1"/>
  <c r="AH151" i="1" s="1"/>
  <c r="O150" i="1"/>
  <c r="P150" i="1" s="1"/>
  <c r="AH150" i="1" s="1"/>
  <c r="O141" i="1"/>
  <c r="P141" i="1" s="1"/>
  <c r="AH141" i="1" s="1"/>
  <c r="O147" i="1"/>
  <c r="P147" i="1" s="1"/>
  <c r="AH147" i="1" s="1"/>
  <c r="AH160" i="1"/>
  <c r="AF160" i="1"/>
  <c r="O139" i="1"/>
  <c r="P139" i="1" s="1"/>
  <c r="AD139" i="1"/>
  <c r="O152" i="1"/>
  <c r="P152" i="1" s="1"/>
  <c r="AD152" i="1"/>
  <c r="E122" i="1"/>
  <c r="F122" i="1" s="1"/>
  <c r="E123" i="1"/>
  <c r="F123" i="1" s="1"/>
  <c r="E124" i="1"/>
  <c r="F124" i="1" s="1"/>
  <c r="E125" i="1"/>
  <c r="F125" i="1" s="1"/>
  <c r="E126" i="1"/>
  <c r="F126" i="1" s="1"/>
  <c r="E127" i="1"/>
  <c r="F127" i="1" s="1"/>
  <c r="E128" i="1"/>
  <c r="F128" i="1" s="1"/>
  <c r="E129" i="1"/>
  <c r="F129" i="1" s="1"/>
  <c r="E130" i="1"/>
  <c r="F130" i="1" s="1"/>
  <c r="E131" i="1"/>
  <c r="F131" i="1" s="1"/>
  <c r="E132" i="1"/>
  <c r="F132" i="1" s="1"/>
  <c r="E133" i="1"/>
  <c r="F133" i="1" s="1"/>
  <c r="E134" i="1"/>
  <c r="F134" i="1" s="1"/>
  <c r="E121" i="1"/>
  <c r="F121" i="1" s="1"/>
  <c r="O129" i="1" l="1"/>
  <c r="P129" i="1" s="1"/>
  <c r="O127" i="1"/>
  <c r="P127" i="1" s="1"/>
  <c r="O134" i="1"/>
  <c r="P134" i="1" s="1"/>
  <c r="AF139" i="1"/>
  <c r="O133" i="1"/>
  <c r="P133" i="1" s="1"/>
  <c r="O132" i="1"/>
  <c r="P132" i="1" s="1"/>
  <c r="O124" i="1"/>
  <c r="P124" i="1" s="1"/>
  <c r="O131" i="1"/>
  <c r="P131" i="1" s="1"/>
  <c r="O123" i="1"/>
  <c r="P123" i="1" s="1"/>
  <c r="O128" i="1"/>
  <c r="P128" i="1" s="1"/>
  <c r="O126" i="1"/>
  <c r="P126" i="1" s="1"/>
  <c r="O125" i="1"/>
  <c r="P125" i="1" s="1"/>
  <c r="O130" i="1"/>
  <c r="P130" i="1" s="1"/>
  <c r="O122" i="1"/>
  <c r="P122" i="1" s="1"/>
  <c r="AH152" i="1"/>
  <c r="AF152" i="1"/>
  <c r="O121" i="1"/>
  <c r="P121" i="1" s="1"/>
  <c r="AD121" i="1"/>
  <c r="E33" i="1"/>
  <c r="E69" i="1"/>
  <c r="E90" i="1"/>
  <c r="F90" i="1" s="1"/>
  <c r="E96" i="1"/>
  <c r="F96" i="1" s="1"/>
  <c r="E97" i="1"/>
  <c r="F97" i="1" s="1"/>
  <c r="E98" i="1"/>
  <c r="F98" i="1" s="1"/>
  <c r="E99" i="1"/>
  <c r="F99" i="1" s="1"/>
  <c r="E100" i="1"/>
  <c r="F100" i="1" s="1"/>
  <c r="E101" i="1"/>
  <c r="F101" i="1" s="1"/>
  <c r="E102" i="1"/>
  <c r="F102" i="1" s="1"/>
  <c r="E103" i="1"/>
  <c r="F103" i="1" s="1"/>
  <c r="E104" i="1"/>
  <c r="F104" i="1" s="1"/>
  <c r="E105" i="1"/>
  <c r="F105" i="1" s="1"/>
  <c r="E106" i="1"/>
  <c r="F106" i="1" s="1"/>
  <c r="E107" i="1"/>
  <c r="F107" i="1" s="1"/>
  <c r="E108" i="1"/>
  <c r="F108" i="1" s="1"/>
  <c r="E95" i="1"/>
  <c r="F95" i="1" s="1"/>
  <c r="E77" i="1"/>
  <c r="F77" i="1" s="1"/>
  <c r="BH105" i="1" l="1"/>
  <c r="BG105" i="1"/>
  <c r="BH97" i="1"/>
  <c r="BG97" i="1"/>
  <c r="BH106" i="1"/>
  <c r="BG106" i="1"/>
  <c r="BG104" i="1"/>
  <c r="BH104" i="1"/>
  <c r="BH96" i="1"/>
  <c r="BG96" i="1"/>
  <c r="BH98" i="1"/>
  <c r="BG98" i="1"/>
  <c r="BG103" i="1"/>
  <c r="BH103" i="1"/>
  <c r="BH90" i="1"/>
  <c r="BG90" i="1"/>
  <c r="BH77" i="1"/>
  <c r="BG77" i="1"/>
  <c r="BG102" i="1"/>
  <c r="BH102" i="1"/>
  <c r="BG95" i="1"/>
  <c r="BH95" i="1"/>
  <c r="BG101" i="1"/>
  <c r="BH101" i="1"/>
  <c r="BG108" i="1"/>
  <c r="BH108" i="1"/>
  <c r="BG100" i="1"/>
  <c r="BH100" i="1"/>
  <c r="BG107" i="1"/>
  <c r="BH107" i="1"/>
  <c r="BG99" i="1"/>
  <c r="BH99" i="1"/>
  <c r="O106" i="1"/>
  <c r="P106" i="1" s="1"/>
  <c r="O97" i="1"/>
  <c r="P97" i="1" s="1"/>
  <c r="O96" i="1"/>
  <c r="P96" i="1" s="1"/>
  <c r="O103" i="1"/>
  <c r="P103" i="1" s="1"/>
  <c r="O90" i="1"/>
  <c r="P90" i="1" s="1"/>
  <c r="O107" i="1"/>
  <c r="P107" i="1" s="1"/>
  <c r="O99" i="1"/>
  <c r="P99" i="1" s="1"/>
  <c r="AF121" i="1"/>
  <c r="O98" i="1"/>
  <c r="P98" i="1" s="1"/>
  <c r="O105" i="1"/>
  <c r="P105" i="1" s="1"/>
  <c r="O104" i="1"/>
  <c r="P104" i="1" s="1"/>
  <c r="AF134" i="1"/>
  <c r="O102" i="1"/>
  <c r="P102" i="1" s="1"/>
  <c r="O101" i="1"/>
  <c r="P101" i="1" s="1"/>
  <c r="O100" i="1"/>
  <c r="P100" i="1" s="1"/>
  <c r="O77" i="1"/>
  <c r="P77" i="1" s="1"/>
  <c r="AD77" i="1"/>
  <c r="O95" i="1"/>
  <c r="P95" i="1" s="1"/>
  <c r="AD95" i="1"/>
  <c r="O108" i="1"/>
  <c r="P108" i="1" s="1"/>
  <c r="AD108" i="1"/>
  <c r="F69" i="1"/>
  <c r="E60" i="1"/>
  <c r="F60" i="1" s="1"/>
  <c r="E61" i="1"/>
  <c r="F61" i="1" s="1"/>
  <c r="E62" i="1"/>
  <c r="F62" i="1" s="1"/>
  <c r="E63" i="1"/>
  <c r="F63" i="1" s="1"/>
  <c r="E64" i="1"/>
  <c r="F64" i="1" s="1"/>
  <c r="E65" i="1"/>
  <c r="F65" i="1" s="1"/>
  <c r="E66" i="1"/>
  <c r="F66" i="1" s="1"/>
  <c r="E67" i="1"/>
  <c r="F67" i="1" s="1"/>
  <c r="E68" i="1"/>
  <c r="F68" i="1" s="1"/>
  <c r="E70" i="1"/>
  <c r="F70" i="1" s="1"/>
  <c r="E71" i="1"/>
  <c r="F71" i="1" s="1"/>
  <c r="E72" i="1"/>
  <c r="F72" i="1" s="1"/>
  <c r="E59" i="1"/>
  <c r="F59" i="1" s="1"/>
  <c r="BG66" i="1" l="1"/>
  <c r="BH66" i="1"/>
  <c r="BG67" i="1"/>
  <c r="BH67" i="1"/>
  <c r="BG65" i="1"/>
  <c r="BH65" i="1"/>
  <c r="BH59" i="1"/>
  <c r="BG59" i="1"/>
  <c r="BG64" i="1"/>
  <c r="BH64" i="1"/>
  <c r="BG63" i="1"/>
  <c r="BH63" i="1"/>
  <c r="BG71" i="1"/>
  <c r="BH71" i="1"/>
  <c r="BH62" i="1"/>
  <c r="BG62" i="1"/>
  <c r="BH70" i="1"/>
  <c r="BG70" i="1"/>
  <c r="BH61" i="1"/>
  <c r="BG61" i="1"/>
  <c r="BH69" i="1"/>
  <c r="BG69" i="1"/>
  <c r="BG72" i="1"/>
  <c r="BH72" i="1"/>
  <c r="BH68" i="1"/>
  <c r="BG68" i="1"/>
  <c r="BG60" i="1"/>
  <c r="BH60" i="1"/>
  <c r="AF108" i="1"/>
  <c r="AF95" i="1"/>
  <c r="AF77" i="1"/>
  <c r="O65" i="1"/>
  <c r="P65" i="1" s="1"/>
  <c r="AH65" i="1" s="1"/>
  <c r="O64" i="1"/>
  <c r="P64" i="1" s="1"/>
  <c r="AH64" i="1" s="1"/>
  <c r="O72" i="1"/>
  <c r="P72" i="1" s="1"/>
  <c r="AH72" i="1" s="1"/>
  <c r="O63" i="1"/>
  <c r="P63" i="1" s="1"/>
  <c r="AH63" i="1" s="1"/>
  <c r="O71" i="1"/>
  <c r="P71" i="1" s="1"/>
  <c r="AH71" i="1" s="1"/>
  <c r="O70" i="1"/>
  <c r="P70" i="1" s="1"/>
  <c r="AH70" i="1" s="1"/>
  <c r="O62" i="1"/>
  <c r="P62" i="1" s="1"/>
  <c r="AH62" i="1" s="1"/>
  <c r="O59" i="1"/>
  <c r="P59" i="1" s="1"/>
  <c r="AD59" i="1"/>
  <c r="O69" i="1"/>
  <c r="P69" i="1" s="1"/>
  <c r="AH69" i="1" s="1"/>
  <c r="O61" i="1"/>
  <c r="P61" i="1" s="1"/>
  <c r="AH61" i="1" s="1"/>
  <c r="O68" i="1"/>
  <c r="P68" i="1" s="1"/>
  <c r="AH68" i="1" s="1"/>
  <c r="O60" i="1"/>
  <c r="P60" i="1" s="1"/>
  <c r="AH60" i="1" s="1"/>
  <c r="O67" i="1"/>
  <c r="P67" i="1" s="1"/>
  <c r="AH67" i="1" s="1"/>
  <c r="O66" i="1"/>
  <c r="P66" i="1" s="1"/>
  <c r="AH66" i="1" s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41" i="1"/>
  <c r="F41" i="1" s="1"/>
  <c r="BG41" i="1" l="1"/>
  <c r="BH41" i="1"/>
  <c r="AF59" i="1"/>
  <c r="O41" i="1"/>
  <c r="P41" i="1" s="1"/>
  <c r="AD41" i="1"/>
  <c r="AF41" i="1" l="1"/>
  <c r="H206" i="1"/>
  <c r="AA205" i="1"/>
  <c r="AF205" i="1" s="1"/>
  <c r="H205" i="1"/>
  <c r="AA204" i="1"/>
  <c r="AF204" i="1" s="1"/>
  <c r="H204" i="1"/>
  <c r="AA203" i="1"/>
  <c r="AF203" i="1" s="1"/>
  <c r="H203" i="1"/>
  <c r="AA202" i="1"/>
  <c r="AF202" i="1" s="1"/>
  <c r="H202" i="1"/>
  <c r="AA201" i="1"/>
  <c r="AF201" i="1" s="1"/>
  <c r="H201" i="1"/>
  <c r="AA200" i="1"/>
  <c r="AF200" i="1" s="1"/>
  <c r="H200" i="1"/>
  <c r="AA199" i="1"/>
  <c r="AF199" i="1" s="1"/>
  <c r="H199" i="1"/>
  <c r="AA198" i="1"/>
  <c r="AF198" i="1" s="1"/>
  <c r="H198" i="1"/>
  <c r="AA197" i="1"/>
  <c r="AF197" i="1" s="1"/>
  <c r="H197" i="1"/>
  <c r="AA196" i="1"/>
  <c r="H196" i="1"/>
  <c r="AA195" i="1"/>
  <c r="AF195" i="1" s="1"/>
  <c r="H195" i="1"/>
  <c r="AA194" i="1"/>
  <c r="AF194" i="1" s="1"/>
  <c r="H194" i="1"/>
  <c r="H193" i="1"/>
  <c r="AA188" i="1"/>
  <c r="H188" i="1"/>
  <c r="H187" i="1"/>
  <c r="AA186" i="1"/>
  <c r="H186" i="1"/>
  <c r="AA185" i="1"/>
  <c r="H185" i="1"/>
  <c r="AA184" i="1"/>
  <c r="H184" i="1"/>
  <c r="AA183" i="1"/>
  <c r="H183" i="1"/>
  <c r="AA182" i="1"/>
  <c r="H182" i="1"/>
  <c r="AA181" i="1"/>
  <c r="H181" i="1"/>
  <c r="AA180" i="1"/>
  <c r="H180" i="1"/>
  <c r="AA179" i="1"/>
  <c r="H179" i="1"/>
  <c r="AA178" i="1"/>
  <c r="H178" i="1"/>
  <c r="AA177" i="1"/>
  <c r="H177" i="1"/>
  <c r="AA176" i="1"/>
  <c r="H176" i="1"/>
  <c r="H175" i="1"/>
  <c r="AA170" i="1"/>
  <c r="H170" i="1"/>
  <c r="H169" i="1"/>
  <c r="AA168" i="1"/>
  <c r="H168" i="1"/>
  <c r="AA167" i="1"/>
  <c r="H167" i="1"/>
  <c r="AA166" i="1"/>
  <c r="H166" i="1"/>
  <c r="AA165" i="1"/>
  <c r="H165" i="1"/>
  <c r="AA164" i="1"/>
  <c r="H164" i="1"/>
  <c r="AA163" i="1"/>
  <c r="H163" i="1"/>
  <c r="AA162" i="1"/>
  <c r="H162" i="1"/>
  <c r="AA161" i="1"/>
  <c r="H161" i="1"/>
  <c r="H160" i="1"/>
  <c r="AA159" i="1"/>
  <c r="H159" i="1"/>
  <c r="AA158" i="1"/>
  <c r="H158" i="1"/>
  <c r="AA157" i="1"/>
  <c r="H157" i="1"/>
  <c r="H152" i="1"/>
  <c r="AA151" i="1"/>
  <c r="H151" i="1"/>
  <c r="AA150" i="1"/>
  <c r="H150" i="1"/>
  <c r="AA149" i="1"/>
  <c r="H149" i="1"/>
  <c r="AA148" i="1"/>
  <c r="H148" i="1"/>
  <c r="AA147" i="1"/>
  <c r="H147" i="1"/>
  <c r="AA146" i="1"/>
  <c r="H146" i="1"/>
  <c r="AA145" i="1"/>
  <c r="H145" i="1"/>
  <c r="AA144" i="1"/>
  <c r="H144" i="1"/>
  <c r="AA143" i="1"/>
  <c r="H143" i="1"/>
  <c r="AA142" i="1"/>
  <c r="H142" i="1"/>
  <c r="AA141" i="1"/>
  <c r="H141" i="1"/>
  <c r="AA140" i="1"/>
  <c r="H140" i="1"/>
  <c r="H139" i="1"/>
  <c r="H132" i="1"/>
  <c r="H134" i="1"/>
  <c r="AA133" i="1"/>
  <c r="AF133" i="1" s="1"/>
  <c r="H133" i="1"/>
  <c r="AA132" i="1"/>
  <c r="AF132" i="1" s="1"/>
  <c r="AA131" i="1"/>
  <c r="AF131" i="1" s="1"/>
  <c r="H131" i="1"/>
  <c r="AA130" i="1"/>
  <c r="AF130" i="1" s="1"/>
  <c r="H130" i="1"/>
  <c r="AA129" i="1"/>
  <c r="AF129" i="1" s="1"/>
  <c r="H129" i="1"/>
  <c r="AA128" i="1"/>
  <c r="AF128" i="1" s="1"/>
  <c r="H128" i="1"/>
  <c r="AA127" i="1"/>
  <c r="AF127" i="1" s="1"/>
  <c r="H127" i="1"/>
  <c r="AA126" i="1"/>
  <c r="AF126" i="1" s="1"/>
  <c r="H126" i="1"/>
  <c r="AA125" i="1"/>
  <c r="AF125" i="1" s="1"/>
  <c r="H125" i="1"/>
  <c r="AA124" i="1"/>
  <c r="AF124" i="1" s="1"/>
  <c r="H124" i="1"/>
  <c r="AA123" i="1"/>
  <c r="AF123" i="1" s="1"/>
  <c r="H123" i="1"/>
  <c r="AA122" i="1"/>
  <c r="AF122" i="1" s="1"/>
  <c r="H122" i="1"/>
  <c r="H121" i="1"/>
  <c r="H105" i="1"/>
  <c r="R105" i="1" s="1"/>
  <c r="H114" i="1" l="1"/>
  <c r="H117" i="1"/>
  <c r="AD144" i="1"/>
  <c r="AF144" i="1"/>
  <c r="I157" i="1"/>
  <c r="R157" i="1"/>
  <c r="AD165" i="1"/>
  <c r="AF165" i="1"/>
  <c r="AD182" i="1"/>
  <c r="AF182" i="1"/>
  <c r="I149" i="1"/>
  <c r="R149" i="1"/>
  <c r="I162" i="1"/>
  <c r="R162" i="1"/>
  <c r="I179" i="1"/>
  <c r="J179" i="1" s="1"/>
  <c r="K179" i="1" s="1"/>
  <c r="R179" i="1"/>
  <c r="I187" i="1"/>
  <c r="J187" i="1" s="1"/>
  <c r="K187" i="1" s="1"/>
  <c r="R187" i="1"/>
  <c r="I204" i="1"/>
  <c r="R204" i="1"/>
  <c r="I133" i="1"/>
  <c r="R133" i="1"/>
  <c r="AD149" i="1"/>
  <c r="AF149" i="1"/>
  <c r="AD162" i="1"/>
  <c r="AF162" i="1"/>
  <c r="AD179" i="1"/>
  <c r="AF179" i="1"/>
  <c r="U105" i="1"/>
  <c r="V105" i="1" s="1"/>
  <c r="S105" i="1"/>
  <c r="T105" i="1" s="1"/>
  <c r="I125" i="1"/>
  <c r="J125" i="1" s="1"/>
  <c r="K125" i="1" s="1"/>
  <c r="R125" i="1"/>
  <c r="I129" i="1"/>
  <c r="J129" i="1" s="1"/>
  <c r="K129" i="1" s="1"/>
  <c r="R129" i="1"/>
  <c r="I142" i="1"/>
  <c r="R142" i="1"/>
  <c r="I146" i="1"/>
  <c r="J146" i="1" s="1"/>
  <c r="K146" i="1" s="1"/>
  <c r="R146" i="1"/>
  <c r="I150" i="1"/>
  <c r="J150" i="1" s="1"/>
  <c r="K150" i="1" s="1"/>
  <c r="R150" i="1"/>
  <c r="AD158" i="1"/>
  <c r="AF158" i="1"/>
  <c r="I163" i="1"/>
  <c r="R163" i="1"/>
  <c r="I167" i="1"/>
  <c r="R167" i="1"/>
  <c r="I176" i="1"/>
  <c r="J176" i="1" s="1"/>
  <c r="K176" i="1" s="1"/>
  <c r="R176" i="1"/>
  <c r="I180" i="1"/>
  <c r="J180" i="1" s="1"/>
  <c r="K180" i="1" s="1"/>
  <c r="R180" i="1"/>
  <c r="I184" i="1"/>
  <c r="R184" i="1"/>
  <c r="AD188" i="1"/>
  <c r="AF188" i="1"/>
  <c r="I197" i="1"/>
  <c r="J197" i="1" s="1"/>
  <c r="K197" i="1" s="1"/>
  <c r="R197" i="1"/>
  <c r="I201" i="1"/>
  <c r="J201" i="1" s="1"/>
  <c r="K201" i="1" s="1"/>
  <c r="R201" i="1"/>
  <c r="I205" i="1"/>
  <c r="R205" i="1"/>
  <c r="I121" i="1"/>
  <c r="J121" i="1" s="1"/>
  <c r="R121" i="1"/>
  <c r="I134" i="1"/>
  <c r="J134" i="1" s="1"/>
  <c r="K134" i="1" s="1"/>
  <c r="R134" i="1"/>
  <c r="AD142" i="1"/>
  <c r="AF142" i="1"/>
  <c r="AD146" i="1"/>
  <c r="AF146" i="1"/>
  <c r="AD150" i="1"/>
  <c r="AF150" i="1"/>
  <c r="I159" i="1"/>
  <c r="J159" i="1" s="1"/>
  <c r="K159" i="1" s="1"/>
  <c r="R159" i="1"/>
  <c r="AD163" i="1"/>
  <c r="AF163" i="1"/>
  <c r="AD167" i="1"/>
  <c r="AF167" i="1"/>
  <c r="AD176" i="1"/>
  <c r="AF176" i="1"/>
  <c r="AD180" i="1"/>
  <c r="AF180" i="1"/>
  <c r="AD184" i="1"/>
  <c r="AF184" i="1"/>
  <c r="I193" i="1"/>
  <c r="R193" i="1"/>
  <c r="AD148" i="1"/>
  <c r="AF148" i="1"/>
  <c r="I170" i="1"/>
  <c r="J170" i="1" s="1"/>
  <c r="K170" i="1" s="1"/>
  <c r="R170" i="1"/>
  <c r="AD186" i="1"/>
  <c r="AF186" i="1"/>
  <c r="I124" i="1"/>
  <c r="R124" i="1"/>
  <c r="I145" i="1"/>
  <c r="R145" i="1"/>
  <c r="I166" i="1"/>
  <c r="J166" i="1" s="1"/>
  <c r="K166" i="1" s="1"/>
  <c r="R166" i="1"/>
  <c r="I183" i="1"/>
  <c r="J183" i="1" s="1"/>
  <c r="K183" i="1" s="1"/>
  <c r="R183" i="1"/>
  <c r="I200" i="1"/>
  <c r="R200" i="1"/>
  <c r="AD145" i="1"/>
  <c r="AF145" i="1"/>
  <c r="AD166" i="1"/>
  <c r="AF166" i="1"/>
  <c r="AD183" i="1"/>
  <c r="AF183" i="1"/>
  <c r="I126" i="1"/>
  <c r="R126" i="1"/>
  <c r="I130" i="1"/>
  <c r="R130" i="1"/>
  <c r="I143" i="1"/>
  <c r="J143" i="1" s="1"/>
  <c r="K143" i="1" s="1"/>
  <c r="R143" i="1"/>
  <c r="I151" i="1"/>
  <c r="J151" i="1" s="1"/>
  <c r="K151" i="1" s="1"/>
  <c r="R151" i="1"/>
  <c r="I164" i="1"/>
  <c r="R164" i="1"/>
  <c r="I181" i="1"/>
  <c r="R181" i="1"/>
  <c r="I194" i="1"/>
  <c r="J194" i="1" s="1"/>
  <c r="K194" i="1" s="1"/>
  <c r="R194" i="1"/>
  <c r="I202" i="1"/>
  <c r="R202" i="1"/>
  <c r="I139" i="1"/>
  <c r="R139" i="1"/>
  <c r="AD143" i="1"/>
  <c r="AF143" i="1"/>
  <c r="AD147" i="1"/>
  <c r="AF147" i="1"/>
  <c r="AD151" i="1"/>
  <c r="AF151" i="1"/>
  <c r="I160" i="1"/>
  <c r="R160" i="1"/>
  <c r="AD164" i="1"/>
  <c r="AF164" i="1"/>
  <c r="AD168" i="1"/>
  <c r="AF168" i="1"/>
  <c r="AD177" i="1"/>
  <c r="AF177" i="1"/>
  <c r="AD181" i="1"/>
  <c r="AF181" i="1"/>
  <c r="AD185" i="1"/>
  <c r="AF185" i="1"/>
  <c r="AD140" i="1"/>
  <c r="AF140" i="1"/>
  <c r="AD161" i="1"/>
  <c r="AF161" i="1"/>
  <c r="AD178" i="1"/>
  <c r="AF178" i="1"/>
  <c r="I128" i="1"/>
  <c r="R128" i="1"/>
  <c r="I141" i="1"/>
  <c r="J141" i="1" s="1"/>
  <c r="K141" i="1" s="1"/>
  <c r="R141" i="1"/>
  <c r="AD157" i="1"/>
  <c r="AF157" i="1"/>
  <c r="AD170" i="1"/>
  <c r="AF170" i="1"/>
  <c r="I196" i="1"/>
  <c r="J196" i="1" s="1"/>
  <c r="K196" i="1" s="1"/>
  <c r="R196" i="1"/>
  <c r="AD141" i="1"/>
  <c r="AF141" i="1"/>
  <c r="I158" i="1"/>
  <c r="J158" i="1" s="1"/>
  <c r="K158" i="1" s="1"/>
  <c r="R158" i="1"/>
  <c r="I175" i="1"/>
  <c r="J175" i="1" s="1"/>
  <c r="K175" i="1" s="1"/>
  <c r="R175" i="1"/>
  <c r="I188" i="1"/>
  <c r="R188" i="1"/>
  <c r="AD196" i="1"/>
  <c r="AF196" i="1"/>
  <c r="I122" i="1"/>
  <c r="J122" i="1" s="1"/>
  <c r="K122" i="1" s="1"/>
  <c r="R122" i="1"/>
  <c r="I132" i="1"/>
  <c r="R132" i="1"/>
  <c r="I147" i="1"/>
  <c r="J147" i="1" s="1"/>
  <c r="K147" i="1" s="1"/>
  <c r="R147" i="1"/>
  <c r="AD159" i="1"/>
  <c r="AF159" i="1"/>
  <c r="I168" i="1"/>
  <c r="J168" i="1" s="1"/>
  <c r="K168" i="1" s="1"/>
  <c r="R168" i="1"/>
  <c r="I177" i="1"/>
  <c r="R177" i="1"/>
  <c r="I185" i="1"/>
  <c r="R185" i="1"/>
  <c r="I198" i="1"/>
  <c r="J198" i="1" s="1"/>
  <c r="K198" i="1" s="1"/>
  <c r="R198" i="1"/>
  <c r="I206" i="1"/>
  <c r="J206" i="1" s="1"/>
  <c r="K206" i="1" s="1"/>
  <c r="R206" i="1"/>
  <c r="I123" i="1"/>
  <c r="R123" i="1"/>
  <c r="I127" i="1"/>
  <c r="R127" i="1"/>
  <c r="I131" i="1"/>
  <c r="J131" i="1" s="1"/>
  <c r="K131" i="1" s="1"/>
  <c r="R131" i="1"/>
  <c r="I140" i="1"/>
  <c r="R140" i="1"/>
  <c r="I144" i="1"/>
  <c r="R144" i="1"/>
  <c r="I148" i="1"/>
  <c r="J148" i="1" s="1"/>
  <c r="K148" i="1" s="1"/>
  <c r="R148" i="1"/>
  <c r="I152" i="1"/>
  <c r="J152" i="1" s="1"/>
  <c r="K152" i="1" s="1"/>
  <c r="R152" i="1"/>
  <c r="I161" i="1"/>
  <c r="J161" i="1" s="1"/>
  <c r="K161" i="1" s="1"/>
  <c r="R161" i="1"/>
  <c r="I165" i="1"/>
  <c r="J165" i="1" s="1"/>
  <c r="K165" i="1" s="1"/>
  <c r="R165" i="1"/>
  <c r="I169" i="1"/>
  <c r="R169" i="1"/>
  <c r="I178" i="1"/>
  <c r="J178" i="1" s="1"/>
  <c r="K178" i="1" s="1"/>
  <c r="R178" i="1"/>
  <c r="I182" i="1"/>
  <c r="J182" i="1" s="1"/>
  <c r="K182" i="1" s="1"/>
  <c r="R182" i="1"/>
  <c r="I186" i="1"/>
  <c r="R186" i="1"/>
  <c r="I195" i="1"/>
  <c r="R195" i="1"/>
  <c r="I199" i="1"/>
  <c r="J199" i="1" s="1"/>
  <c r="K199" i="1" s="1"/>
  <c r="R199" i="1"/>
  <c r="I203" i="1"/>
  <c r="J203" i="1" s="1"/>
  <c r="K203" i="1" s="1"/>
  <c r="R203" i="1"/>
  <c r="AD205" i="1"/>
  <c r="AD124" i="1"/>
  <c r="AD129" i="1"/>
  <c r="J133" i="1"/>
  <c r="K133" i="1" s="1"/>
  <c r="AD133" i="1"/>
  <c r="J204" i="1"/>
  <c r="K204" i="1" s="1"/>
  <c r="J200" i="1"/>
  <c r="K200" i="1" s="1"/>
  <c r="J195" i="1"/>
  <c r="K195" i="1" s="1"/>
  <c r="AD203" i="1"/>
  <c r="J193" i="1"/>
  <c r="K193" i="1" s="1"/>
  <c r="AD195" i="1"/>
  <c r="AD200" i="1"/>
  <c r="AD201" i="1"/>
  <c r="AD197" i="1"/>
  <c r="AD198" i="1"/>
  <c r="AD202" i="1"/>
  <c r="AD204" i="1"/>
  <c r="AD194" i="1"/>
  <c r="AD199" i="1"/>
  <c r="J202" i="1"/>
  <c r="K202" i="1" s="1"/>
  <c r="J205" i="1"/>
  <c r="K205" i="1" s="1"/>
  <c r="J184" i="1"/>
  <c r="K184" i="1" s="1"/>
  <c r="J181" i="1"/>
  <c r="K181" i="1" s="1"/>
  <c r="J188" i="1"/>
  <c r="K188" i="1" s="1"/>
  <c r="J186" i="1"/>
  <c r="K186" i="1" s="1"/>
  <c r="J185" i="1"/>
  <c r="K185" i="1" s="1"/>
  <c r="J177" i="1"/>
  <c r="K177" i="1" s="1"/>
  <c r="J157" i="1"/>
  <c r="K157" i="1" s="1"/>
  <c r="J169" i="1"/>
  <c r="K169" i="1" s="1"/>
  <c r="J167" i="1"/>
  <c r="K167" i="1" s="1"/>
  <c r="J163" i="1"/>
  <c r="K163" i="1" s="1"/>
  <c r="J162" i="1"/>
  <c r="K162" i="1" s="1"/>
  <c r="J164" i="1"/>
  <c r="K164" i="1" s="1"/>
  <c r="J160" i="1"/>
  <c r="K160" i="1" s="1"/>
  <c r="J149" i="1"/>
  <c r="K149" i="1" s="1"/>
  <c r="J145" i="1"/>
  <c r="K145" i="1" s="1"/>
  <c r="J144" i="1"/>
  <c r="K144" i="1" s="1"/>
  <c r="J140" i="1"/>
  <c r="K140" i="1" s="1"/>
  <c r="J142" i="1"/>
  <c r="K142" i="1" s="1"/>
  <c r="J139" i="1"/>
  <c r="K139" i="1" s="1"/>
  <c r="J130" i="1"/>
  <c r="K130" i="1" s="1"/>
  <c r="J126" i="1"/>
  <c r="K126" i="1" s="1"/>
  <c r="J127" i="1"/>
  <c r="K127" i="1" s="1"/>
  <c r="J123" i="1"/>
  <c r="K123" i="1" s="1"/>
  <c r="AD122" i="1"/>
  <c r="AD130" i="1"/>
  <c r="AD131" i="1"/>
  <c r="AD125" i="1"/>
  <c r="J132" i="1"/>
  <c r="K132" i="1" s="1"/>
  <c r="AD123" i="1"/>
  <c r="AD132" i="1"/>
  <c r="AD126" i="1"/>
  <c r="AD127" i="1"/>
  <c r="J124" i="1"/>
  <c r="K124" i="1" s="1"/>
  <c r="J128" i="1"/>
  <c r="K128" i="1" s="1"/>
  <c r="K121" i="1"/>
  <c r="AD128" i="1"/>
  <c r="AD134" i="1"/>
  <c r="I105" i="1"/>
  <c r="H106" i="1"/>
  <c r="H108" i="1"/>
  <c r="AA107" i="1"/>
  <c r="H107" i="1"/>
  <c r="R107" i="1" s="1"/>
  <c r="AA106" i="1"/>
  <c r="AA105" i="1"/>
  <c r="AA104" i="1"/>
  <c r="H104" i="1"/>
  <c r="AA103" i="1"/>
  <c r="H103" i="1"/>
  <c r="AA102" i="1"/>
  <c r="H102" i="1"/>
  <c r="AA101" i="1"/>
  <c r="H101" i="1"/>
  <c r="AA100" i="1"/>
  <c r="H100" i="1"/>
  <c r="AA99" i="1"/>
  <c r="H99" i="1"/>
  <c r="AA98" i="1"/>
  <c r="H98" i="1"/>
  <c r="AA97" i="1"/>
  <c r="H97" i="1"/>
  <c r="AA96" i="1"/>
  <c r="H96" i="1"/>
  <c r="H95" i="1"/>
  <c r="H78" i="1"/>
  <c r="H79" i="1"/>
  <c r="H80" i="1"/>
  <c r="H81" i="1"/>
  <c r="H82" i="1"/>
  <c r="H83" i="1"/>
  <c r="H84" i="1"/>
  <c r="H85" i="1"/>
  <c r="H86" i="1"/>
  <c r="H87" i="1"/>
  <c r="R87" i="1" s="1"/>
  <c r="U87" i="1" s="1"/>
  <c r="V87" i="1" s="1"/>
  <c r="H88" i="1"/>
  <c r="H89" i="1"/>
  <c r="H90" i="1"/>
  <c r="H77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59" i="1"/>
  <c r="H42" i="1"/>
  <c r="R42" i="1" s="1"/>
  <c r="U42" i="1" s="1"/>
  <c r="V42" i="1" s="1"/>
  <c r="H43" i="1"/>
  <c r="R43" i="1" s="1"/>
  <c r="U43" i="1" s="1"/>
  <c r="V43" i="1" s="1"/>
  <c r="H44" i="1"/>
  <c r="R44" i="1" s="1"/>
  <c r="U44" i="1" s="1"/>
  <c r="V44" i="1" s="1"/>
  <c r="H45" i="1"/>
  <c r="R45" i="1" s="1"/>
  <c r="U45" i="1" s="1"/>
  <c r="V45" i="1" s="1"/>
  <c r="H46" i="1"/>
  <c r="R46" i="1" s="1"/>
  <c r="U46" i="1" s="1"/>
  <c r="V46" i="1" s="1"/>
  <c r="H47" i="1"/>
  <c r="R47" i="1" s="1"/>
  <c r="U47" i="1" s="1"/>
  <c r="V47" i="1" s="1"/>
  <c r="H48" i="1"/>
  <c r="R48" i="1" s="1"/>
  <c r="U48" i="1" s="1"/>
  <c r="V48" i="1" s="1"/>
  <c r="H49" i="1"/>
  <c r="R49" i="1" s="1"/>
  <c r="U49" i="1" s="1"/>
  <c r="V49" i="1" s="1"/>
  <c r="H50" i="1"/>
  <c r="R50" i="1" s="1"/>
  <c r="U50" i="1" s="1"/>
  <c r="V50" i="1" s="1"/>
  <c r="H51" i="1"/>
  <c r="R51" i="1" s="1"/>
  <c r="U51" i="1" s="1"/>
  <c r="V51" i="1" s="1"/>
  <c r="H52" i="1"/>
  <c r="R52" i="1" s="1"/>
  <c r="U52" i="1" s="1"/>
  <c r="V52" i="1" s="1"/>
  <c r="H53" i="1"/>
  <c r="R53" i="1" s="1"/>
  <c r="U53" i="1" s="1"/>
  <c r="V53" i="1" s="1"/>
  <c r="H54" i="1"/>
  <c r="R54" i="1" s="1"/>
  <c r="U54" i="1" s="1"/>
  <c r="V54" i="1" s="1"/>
  <c r="H41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23" i="1"/>
  <c r="F33" i="1"/>
  <c r="E24" i="1"/>
  <c r="F24" i="1" s="1"/>
  <c r="E25" i="1"/>
  <c r="F25" i="1" s="1"/>
  <c r="E26" i="1"/>
  <c r="F26" i="1" s="1"/>
  <c r="E27" i="1"/>
  <c r="F27" i="1" s="1"/>
  <c r="E28" i="1"/>
  <c r="F28" i="1" s="1"/>
  <c r="E29" i="1"/>
  <c r="F29" i="1" s="1"/>
  <c r="E30" i="1"/>
  <c r="F30" i="1" s="1"/>
  <c r="E31" i="1"/>
  <c r="F31" i="1" s="1"/>
  <c r="E32" i="1"/>
  <c r="F32" i="1" s="1"/>
  <c r="E34" i="1"/>
  <c r="F34" i="1" s="1"/>
  <c r="E35" i="1"/>
  <c r="F35" i="1" s="1"/>
  <c r="E36" i="1"/>
  <c r="F36" i="1" s="1"/>
  <c r="E23" i="1"/>
  <c r="F23" i="1" s="1"/>
  <c r="BH29" i="1" l="1"/>
  <c r="BG29" i="1"/>
  <c r="BH28" i="1"/>
  <c r="BG28" i="1"/>
  <c r="BH27" i="1"/>
  <c r="BG27" i="1"/>
  <c r="BG23" i="1"/>
  <c r="BH23" i="1"/>
  <c r="O23" i="1"/>
  <c r="P23" i="1" s="1"/>
  <c r="BH36" i="1"/>
  <c r="BG36" i="1"/>
  <c r="BH35" i="1"/>
  <c r="BG35" i="1"/>
  <c r="BG26" i="1"/>
  <c r="BH26" i="1"/>
  <c r="R36" i="1"/>
  <c r="U36" i="1" s="1"/>
  <c r="V36" i="1" s="1"/>
  <c r="H16" i="1"/>
  <c r="BG25" i="1"/>
  <c r="BH25" i="1"/>
  <c r="BH34" i="1"/>
  <c r="BG34" i="1"/>
  <c r="BG24" i="1"/>
  <c r="BH24" i="1"/>
  <c r="BG32" i="1"/>
  <c r="BH32" i="1"/>
  <c r="BG31" i="1"/>
  <c r="BH31" i="1"/>
  <c r="BG33" i="1"/>
  <c r="BH33" i="1"/>
  <c r="BG30" i="1"/>
  <c r="BH30" i="1"/>
  <c r="R23" i="1"/>
  <c r="U23" i="1" s="1"/>
  <c r="V23" i="1" s="1"/>
  <c r="I23" i="1"/>
  <c r="J23" i="1" s="1"/>
  <c r="K23" i="1" s="1"/>
  <c r="H14" i="1"/>
  <c r="H17" i="1"/>
  <c r="I71" i="1"/>
  <c r="J71" i="1" s="1"/>
  <c r="R71" i="1"/>
  <c r="I79" i="1"/>
  <c r="R79" i="1"/>
  <c r="U79" i="1" s="1"/>
  <c r="V79" i="1" s="1"/>
  <c r="I102" i="1"/>
  <c r="R102" i="1"/>
  <c r="U182" i="1"/>
  <c r="V182" i="1" s="1"/>
  <c r="S182" i="1"/>
  <c r="T182" i="1" s="1"/>
  <c r="U168" i="1"/>
  <c r="V168" i="1" s="1"/>
  <c r="S168" i="1"/>
  <c r="T168" i="1" s="1"/>
  <c r="I86" i="1"/>
  <c r="R86" i="1"/>
  <c r="U86" i="1" s="1"/>
  <c r="V86" i="1" s="1"/>
  <c r="I85" i="1"/>
  <c r="R85" i="1"/>
  <c r="U85" i="1" s="1"/>
  <c r="V85" i="1" s="1"/>
  <c r="I108" i="1"/>
  <c r="J108" i="1" s="1"/>
  <c r="K108" i="1" s="1"/>
  <c r="R108" i="1"/>
  <c r="U199" i="1"/>
  <c r="V199" i="1" s="1"/>
  <c r="S199" i="1"/>
  <c r="T199" i="1" s="1"/>
  <c r="U131" i="1"/>
  <c r="V131" i="1" s="1"/>
  <c r="S131" i="1"/>
  <c r="T131" i="1" s="1"/>
  <c r="U143" i="1"/>
  <c r="V143" i="1" s="1"/>
  <c r="S143" i="1"/>
  <c r="T143" i="1" s="1"/>
  <c r="U170" i="1"/>
  <c r="V170" i="1" s="1"/>
  <c r="S170" i="1"/>
  <c r="T170" i="1" s="1"/>
  <c r="U159" i="1"/>
  <c r="V159" i="1" s="1"/>
  <c r="S159" i="1"/>
  <c r="T159" i="1" s="1"/>
  <c r="U176" i="1"/>
  <c r="V176" i="1" s="1"/>
  <c r="S176" i="1"/>
  <c r="T176" i="1" s="1"/>
  <c r="I68" i="1"/>
  <c r="J68" i="1" s="1"/>
  <c r="R68" i="1"/>
  <c r="I60" i="1"/>
  <c r="J60" i="1" s="1"/>
  <c r="R60" i="1"/>
  <c r="I84" i="1"/>
  <c r="R84" i="1"/>
  <c r="U84" i="1" s="1"/>
  <c r="V84" i="1" s="1"/>
  <c r="I95" i="1"/>
  <c r="J95" i="1" s="1"/>
  <c r="R95" i="1"/>
  <c r="I106" i="1"/>
  <c r="J106" i="1" s="1"/>
  <c r="K106" i="1" s="1"/>
  <c r="R106" i="1"/>
  <c r="I67" i="1"/>
  <c r="J67" i="1" s="1"/>
  <c r="R67" i="1"/>
  <c r="I77" i="1"/>
  <c r="J77" i="1" s="1"/>
  <c r="R77" i="1"/>
  <c r="I83" i="1"/>
  <c r="R83" i="1"/>
  <c r="U83" i="1" s="1"/>
  <c r="V83" i="1" s="1"/>
  <c r="I96" i="1"/>
  <c r="R96" i="1"/>
  <c r="I100" i="1"/>
  <c r="J100" i="1" s="1"/>
  <c r="K100" i="1" s="1"/>
  <c r="R100" i="1"/>
  <c r="I104" i="1"/>
  <c r="J104" i="1" s="1"/>
  <c r="K104" i="1" s="1"/>
  <c r="R104" i="1"/>
  <c r="I107" i="1"/>
  <c r="U195" i="1"/>
  <c r="V195" i="1" s="1"/>
  <c r="S195" i="1"/>
  <c r="T195" i="1" s="1"/>
  <c r="U169" i="1"/>
  <c r="V169" i="1" s="1"/>
  <c r="S169" i="1"/>
  <c r="T169" i="1" s="1"/>
  <c r="U148" i="1"/>
  <c r="V148" i="1" s="1"/>
  <c r="S148" i="1"/>
  <c r="T148" i="1" s="1"/>
  <c r="U127" i="1"/>
  <c r="V127" i="1" s="1"/>
  <c r="S127" i="1"/>
  <c r="T127" i="1" s="1"/>
  <c r="U185" i="1"/>
  <c r="V185" i="1" s="1"/>
  <c r="S185" i="1"/>
  <c r="T185" i="1" s="1"/>
  <c r="U147" i="1"/>
  <c r="V147" i="1" s="1"/>
  <c r="S147" i="1"/>
  <c r="T147" i="1" s="1"/>
  <c r="U188" i="1"/>
  <c r="V188" i="1" s="1"/>
  <c r="S188" i="1"/>
  <c r="T188" i="1" s="1"/>
  <c r="U196" i="1"/>
  <c r="V196" i="1" s="1"/>
  <c r="S196" i="1"/>
  <c r="T196" i="1" s="1"/>
  <c r="U128" i="1"/>
  <c r="V128" i="1" s="1"/>
  <c r="S128" i="1"/>
  <c r="T128" i="1" s="1"/>
  <c r="U181" i="1"/>
  <c r="V181" i="1" s="1"/>
  <c r="S181" i="1"/>
  <c r="T181" i="1" s="1"/>
  <c r="U130" i="1"/>
  <c r="V130" i="1" s="1"/>
  <c r="S130" i="1"/>
  <c r="T130" i="1" s="1"/>
  <c r="U145" i="1"/>
  <c r="V145" i="1" s="1"/>
  <c r="S145" i="1"/>
  <c r="T145" i="1" s="1"/>
  <c r="U121" i="1"/>
  <c r="V121" i="1" s="1"/>
  <c r="S121" i="1"/>
  <c r="T121" i="1" s="1"/>
  <c r="U167" i="1"/>
  <c r="V167" i="1" s="1"/>
  <c r="S167" i="1"/>
  <c r="T167" i="1" s="1"/>
  <c r="U146" i="1"/>
  <c r="V146" i="1" s="1"/>
  <c r="S146" i="1"/>
  <c r="T146" i="1" s="1"/>
  <c r="U133" i="1"/>
  <c r="V133" i="1" s="1"/>
  <c r="S133" i="1"/>
  <c r="T133" i="1" s="1"/>
  <c r="U162" i="1"/>
  <c r="V162" i="1" s="1"/>
  <c r="S162" i="1"/>
  <c r="T162" i="1" s="1"/>
  <c r="U157" i="1"/>
  <c r="V157" i="1" s="1"/>
  <c r="S157" i="1"/>
  <c r="T157" i="1" s="1"/>
  <c r="I63" i="1"/>
  <c r="J63" i="1" s="1"/>
  <c r="R63" i="1"/>
  <c r="U107" i="1"/>
  <c r="V107" i="1" s="1"/>
  <c r="S107" i="1"/>
  <c r="T107" i="1" s="1"/>
  <c r="U203" i="1"/>
  <c r="V203" i="1" s="1"/>
  <c r="S203" i="1"/>
  <c r="T203" i="1" s="1"/>
  <c r="U140" i="1"/>
  <c r="V140" i="1" s="1"/>
  <c r="S140" i="1"/>
  <c r="T140" i="1" s="1"/>
  <c r="U158" i="1"/>
  <c r="V158" i="1" s="1"/>
  <c r="S158" i="1"/>
  <c r="T158" i="1" s="1"/>
  <c r="U151" i="1"/>
  <c r="V151" i="1" s="1"/>
  <c r="S151" i="1"/>
  <c r="T151" i="1" s="1"/>
  <c r="U201" i="1"/>
  <c r="V201" i="1" s="1"/>
  <c r="S201" i="1"/>
  <c r="T201" i="1" s="1"/>
  <c r="U129" i="1"/>
  <c r="V129" i="1" s="1"/>
  <c r="S129" i="1"/>
  <c r="T129" i="1" s="1"/>
  <c r="I62" i="1"/>
  <c r="J62" i="1" s="1"/>
  <c r="R62" i="1"/>
  <c r="I61" i="1"/>
  <c r="J61" i="1" s="1"/>
  <c r="R61" i="1"/>
  <c r="I87" i="1"/>
  <c r="I103" i="1"/>
  <c r="J103" i="1" s="1"/>
  <c r="K103" i="1" s="1"/>
  <c r="R103" i="1"/>
  <c r="U152" i="1"/>
  <c r="V152" i="1" s="1"/>
  <c r="S152" i="1"/>
  <c r="T152" i="1" s="1"/>
  <c r="U198" i="1"/>
  <c r="V198" i="1" s="1"/>
  <c r="S198" i="1"/>
  <c r="T198" i="1" s="1"/>
  <c r="U197" i="1"/>
  <c r="V197" i="1" s="1"/>
  <c r="S197" i="1"/>
  <c r="T197" i="1" s="1"/>
  <c r="U125" i="1"/>
  <c r="V125" i="1" s="1"/>
  <c r="S125" i="1"/>
  <c r="T125" i="1" s="1"/>
  <c r="I66" i="1"/>
  <c r="J66" i="1" s="1"/>
  <c r="R66" i="1"/>
  <c r="I82" i="1"/>
  <c r="R82" i="1"/>
  <c r="U82" i="1" s="1"/>
  <c r="V82" i="1" s="1"/>
  <c r="I59" i="1"/>
  <c r="J59" i="1" s="1"/>
  <c r="R59" i="1"/>
  <c r="I65" i="1"/>
  <c r="J65" i="1" s="1"/>
  <c r="R65" i="1"/>
  <c r="I89" i="1"/>
  <c r="R89" i="1"/>
  <c r="U89" i="1" s="1"/>
  <c r="V89" i="1" s="1"/>
  <c r="I81" i="1"/>
  <c r="R81" i="1"/>
  <c r="U81" i="1" s="1"/>
  <c r="V81" i="1" s="1"/>
  <c r="I97" i="1"/>
  <c r="R97" i="1"/>
  <c r="I101" i="1"/>
  <c r="J101" i="1" s="1"/>
  <c r="K101" i="1" s="1"/>
  <c r="R101" i="1"/>
  <c r="U186" i="1"/>
  <c r="V186" i="1" s="1"/>
  <c r="S186" i="1"/>
  <c r="T186" i="1" s="1"/>
  <c r="U165" i="1"/>
  <c r="V165" i="1" s="1"/>
  <c r="S165" i="1"/>
  <c r="T165" i="1" s="1"/>
  <c r="U144" i="1"/>
  <c r="V144" i="1" s="1"/>
  <c r="S144" i="1"/>
  <c r="T144" i="1" s="1"/>
  <c r="U123" i="1"/>
  <c r="V123" i="1" s="1"/>
  <c r="S123" i="1"/>
  <c r="T123" i="1" s="1"/>
  <c r="U177" i="1"/>
  <c r="V177" i="1" s="1"/>
  <c r="S177" i="1"/>
  <c r="T177" i="1" s="1"/>
  <c r="U132" i="1"/>
  <c r="V132" i="1" s="1"/>
  <c r="S132" i="1"/>
  <c r="T132" i="1" s="1"/>
  <c r="U175" i="1"/>
  <c r="V175" i="1" s="1"/>
  <c r="S175" i="1"/>
  <c r="T175" i="1" s="1"/>
  <c r="U160" i="1"/>
  <c r="V160" i="1" s="1"/>
  <c r="S160" i="1"/>
  <c r="T160" i="1" s="1"/>
  <c r="U139" i="1"/>
  <c r="V139" i="1" s="1"/>
  <c r="S139" i="1"/>
  <c r="T139" i="1" s="1"/>
  <c r="U164" i="1"/>
  <c r="V164" i="1" s="1"/>
  <c r="S164" i="1"/>
  <c r="T164" i="1" s="1"/>
  <c r="U126" i="1"/>
  <c r="V126" i="1" s="1"/>
  <c r="S126" i="1"/>
  <c r="T126" i="1" s="1"/>
  <c r="U200" i="1"/>
  <c r="V200" i="1" s="1"/>
  <c r="S200" i="1"/>
  <c r="T200" i="1" s="1"/>
  <c r="U124" i="1"/>
  <c r="V124" i="1" s="1"/>
  <c r="S124" i="1"/>
  <c r="T124" i="1" s="1"/>
  <c r="U193" i="1"/>
  <c r="V193" i="1" s="1"/>
  <c r="S193" i="1"/>
  <c r="T193" i="1" s="1"/>
  <c r="U205" i="1"/>
  <c r="V205" i="1" s="1"/>
  <c r="S205" i="1"/>
  <c r="T205" i="1" s="1"/>
  <c r="U184" i="1"/>
  <c r="V184" i="1" s="1"/>
  <c r="S184" i="1"/>
  <c r="T184" i="1" s="1"/>
  <c r="U163" i="1"/>
  <c r="V163" i="1" s="1"/>
  <c r="S163" i="1"/>
  <c r="T163" i="1" s="1"/>
  <c r="U142" i="1"/>
  <c r="V142" i="1" s="1"/>
  <c r="S142" i="1"/>
  <c r="T142" i="1" s="1"/>
  <c r="U204" i="1"/>
  <c r="V204" i="1" s="1"/>
  <c r="S204" i="1"/>
  <c r="T204" i="1" s="1"/>
  <c r="U149" i="1"/>
  <c r="V149" i="1" s="1"/>
  <c r="S149" i="1"/>
  <c r="T149" i="1" s="1"/>
  <c r="I41" i="1"/>
  <c r="J41" i="1" s="1"/>
  <c r="K41" i="1" s="1"/>
  <c r="R41" i="1"/>
  <c r="I98" i="1"/>
  <c r="R98" i="1"/>
  <c r="U161" i="1"/>
  <c r="V161" i="1" s="1"/>
  <c r="S161" i="1"/>
  <c r="T161" i="1" s="1"/>
  <c r="U206" i="1"/>
  <c r="V206" i="1" s="1"/>
  <c r="S206" i="1"/>
  <c r="T206" i="1" s="1"/>
  <c r="U122" i="1"/>
  <c r="V122" i="1" s="1"/>
  <c r="S122" i="1"/>
  <c r="T122" i="1" s="1"/>
  <c r="U202" i="1"/>
  <c r="V202" i="1" s="1"/>
  <c r="S202" i="1"/>
  <c r="T202" i="1" s="1"/>
  <c r="U183" i="1"/>
  <c r="V183" i="1" s="1"/>
  <c r="S183" i="1"/>
  <c r="T183" i="1" s="1"/>
  <c r="U180" i="1"/>
  <c r="V180" i="1" s="1"/>
  <c r="S180" i="1"/>
  <c r="T180" i="1" s="1"/>
  <c r="U187" i="1"/>
  <c r="V187" i="1" s="1"/>
  <c r="S187" i="1"/>
  <c r="T187" i="1" s="1"/>
  <c r="I70" i="1"/>
  <c r="J70" i="1" s="1"/>
  <c r="R70" i="1"/>
  <c r="I78" i="1"/>
  <c r="R78" i="1"/>
  <c r="U78" i="1" s="1"/>
  <c r="V78" i="1" s="1"/>
  <c r="I69" i="1"/>
  <c r="J69" i="1" s="1"/>
  <c r="R69" i="1"/>
  <c r="I99" i="1"/>
  <c r="J99" i="1" s="1"/>
  <c r="K99" i="1" s="1"/>
  <c r="R99" i="1"/>
  <c r="U178" i="1"/>
  <c r="V178" i="1" s="1"/>
  <c r="S178" i="1"/>
  <c r="T178" i="1" s="1"/>
  <c r="U141" i="1"/>
  <c r="V141" i="1" s="1"/>
  <c r="S141" i="1"/>
  <c r="T141" i="1" s="1"/>
  <c r="U194" i="1"/>
  <c r="V194" i="1" s="1"/>
  <c r="S194" i="1"/>
  <c r="T194" i="1" s="1"/>
  <c r="U166" i="1"/>
  <c r="V166" i="1" s="1"/>
  <c r="S166" i="1"/>
  <c r="T166" i="1" s="1"/>
  <c r="U134" i="1"/>
  <c r="V134" i="1" s="1"/>
  <c r="S134" i="1"/>
  <c r="T134" i="1" s="1"/>
  <c r="U150" i="1"/>
  <c r="V150" i="1" s="1"/>
  <c r="S150" i="1"/>
  <c r="T150" i="1" s="1"/>
  <c r="U179" i="1"/>
  <c r="V179" i="1" s="1"/>
  <c r="S179" i="1"/>
  <c r="T179" i="1" s="1"/>
  <c r="I90" i="1"/>
  <c r="R90" i="1"/>
  <c r="I72" i="1"/>
  <c r="J72" i="1" s="1"/>
  <c r="R72" i="1"/>
  <c r="I64" i="1"/>
  <c r="J64" i="1" s="1"/>
  <c r="R64" i="1"/>
  <c r="I88" i="1"/>
  <c r="R88" i="1"/>
  <c r="U88" i="1" s="1"/>
  <c r="V88" i="1" s="1"/>
  <c r="I80" i="1"/>
  <c r="R80" i="1"/>
  <c r="U80" i="1" s="1"/>
  <c r="V80" i="1" s="1"/>
  <c r="I36" i="1"/>
  <c r="O28" i="1"/>
  <c r="P28" i="1" s="1"/>
  <c r="I35" i="1"/>
  <c r="J35" i="1" s="1"/>
  <c r="K35" i="1" s="1"/>
  <c r="R35" i="1"/>
  <c r="U35" i="1" s="1"/>
  <c r="V35" i="1" s="1"/>
  <c r="I27" i="1"/>
  <c r="R27" i="1"/>
  <c r="U27" i="1" s="1"/>
  <c r="V27" i="1" s="1"/>
  <c r="S36" i="1"/>
  <c r="T36" i="1" s="1"/>
  <c r="O27" i="1"/>
  <c r="P27" i="1" s="1"/>
  <c r="I34" i="1"/>
  <c r="J34" i="1" s="1"/>
  <c r="K34" i="1" s="1"/>
  <c r="R34" i="1"/>
  <c r="I26" i="1"/>
  <c r="R26" i="1"/>
  <c r="U26" i="1" s="1"/>
  <c r="V26" i="1" s="1"/>
  <c r="O35" i="1"/>
  <c r="P35" i="1" s="1"/>
  <c r="O26" i="1"/>
  <c r="P26" i="1" s="1"/>
  <c r="S26" i="1"/>
  <c r="T26" i="1" s="1"/>
  <c r="I33" i="1"/>
  <c r="J33" i="1" s="1"/>
  <c r="K33" i="1" s="1"/>
  <c r="R33" i="1"/>
  <c r="U33" i="1" s="1"/>
  <c r="V33" i="1" s="1"/>
  <c r="I25" i="1"/>
  <c r="J25" i="1" s="1"/>
  <c r="K25" i="1" s="1"/>
  <c r="R25" i="1"/>
  <c r="U25" i="1" s="1"/>
  <c r="V25" i="1" s="1"/>
  <c r="O30" i="1"/>
  <c r="P30" i="1" s="1"/>
  <c r="I29" i="1"/>
  <c r="R29" i="1"/>
  <c r="U29" i="1" s="1"/>
  <c r="V29" i="1" s="1"/>
  <c r="O29" i="1"/>
  <c r="P29" i="1" s="1"/>
  <c r="I28" i="1"/>
  <c r="J28" i="1" s="1"/>
  <c r="K28" i="1" s="1"/>
  <c r="R28" i="1"/>
  <c r="U28" i="1" s="1"/>
  <c r="V28" i="1" s="1"/>
  <c r="S25" i="1"/>
  <c r="T25" i="1" s="1"/>
  <c r="I32" i="1"/>
  <c r="J32" i="1" s="1"/>
  <c r="K32" i="1" s="1"/>
  <c r="R32" i="1"/>
  <c r="I24" i="1"/>
  <c r="J24" i="1" s="1"/>
  <c r="K24" i="1" s="1"/>
  <c r="R24" i="1"/>
  <c r="I31" i="1"/>
  <c r="J31" i="1" s="1"/>
  <c r="K31" i="1" s="1"/>
  <c r="R31" i="1"/>
  <c r="U31" i="1" s="1"/>
  <c r="V31" i="1" s="1"/>
  <c r="O31" i="1"/>
  <c r="P31" i="1" s="1"/>
  <c r="O33" i="1"/>
  <c r="P33" i="1" s="1"/>
  <c r="I30" i="1"/>
  <c r="R30" i="1"/>
  <c r="U30" i="1" s="1"/>
  <c r="V30" i="1" s="1"/>
  <c r="J36" i="1"/>
  <c r="K36" i="1" s="1"/>
  <c r="O34" i="1"/>
  <c r="P34" i="1" s="1"/>
  <c r="O32" i="1"/>
  <c r="P32" i="1" s="1"/>
  <c r="O25" i="1"/>
  <c r="P25" i="1" s="1"/>
  <c r="O24" i="1"/>
  <c r="P24" i="1" s="1"/>
  <c r="AF100" i="1"/>
  <c r="AD100" i="1"/>
  <c r="AF104" i="1"/>
  <c r="AD104" i="1"/>
  <c r="AF97" i="1"/>
  <c r="AD97" i="1"/>
  <c r="AF105" i="1"/>
  <c r="AD105" i="1"/>
  <c r="J30" i="1"/>
  <c r="K30" i="1" s="1"/>
  <c r="AF106" i="1"/>
  <c r="AD106" i="1"/>
  <c r="J29" i="1"/>
  <c r="K29" i="1" s="1"/>
  <c r="AF102" i="1"/>
  <c r="AD102" i="1"/>
  <c r="AF107" i="1"/>
  <c r="AD107" i="1"/>
  <c r="AF103" i="1"/>
  <c r="AD103" i="1"/>
  <c r="AF96" i="1"/>
  <c r="AD96" i="1"/>
  <c r="AD23" i="1"/>
  <c r="AF101" i="1"/>
  <c r="AD101" i="1"/>
  <c r="O36" i="1"/>
  <c r="P36" i="1" s="1"/>
  <c r="AD36" i="1"/>
  <c r="AF98" i="1"/>
  <c r="AD98" i="1"/>
  <c r="J27" i="1"/>
  <c r="K27" i="1" s="1"/>
  <c r="AF99" i="1"/>
  <c r="AD99" i="1"/>
  <c r="J26" i="1"/>
  <c r="K26" i="1" s="1"/>
  <c r="K95" i="1"/>
  <c r="J96" i="1"/>
  <c r="K96" i="1" s="1"/>
  <c r="J102" i="1"/>
  <c r="K102" i="1" s="1"/>
  <c r="J105" i="1"/>
  <c r="K105" i="1" s="1"/>
  <c r="J98" i="1"/>
  <c r="K98" i="1" s="1"/>
  <c r="J107" i="1"/>
  <c r="K107" i="1" s="1"/>
  <c r="J97" i="1"/>
  <c r="K97" i="1" s="1"/>
  <c r="S29" i="1" l="1"/>
  <c r="T29" i="1" s="1"/>
  <c r="S27" i="1"/>
  <c r="T27" i="1" s="1"/>
  <c r="S28" i="1"/>
  <c r="T28" i="1" s="1"/>
  <c r="S23" i="1"/>
  <c r="T23" i="1" s="1"/>
  <c r="AF23" i="1"/>
  <c r="U65" i="1"/>
  <c r="V65" i="1" s="1"/>
  <c r="S65" i="1"/>
  <c r="T65" i="1" s="1"/>
  <c r="U64" i="1"/>
  <c r="V64" i="1" s="1"/>
  <c r="S64" i="1"/>
  <c r="T64" i="1" s="1"/>
  <c r="U97" i="1"/>
  <c r="V97" i="1" s="1"/>
  <c r="S97" i="1"/>
  <c r="T97" i="1" s="1"/>
  <c r="U59" i="1"/>
  <c r="V59" i="1" s="1"/>
  <c r="S59" i="1"/>
  <c r="T59" i="1" s="1"/>
  <c r="S33" i="1"/>
  <c r="T33" i="1" s="1"/>
  <c r="S32" i="1"/>
  <c r="T32" i="1" s="1"/>
  <c r="U32" i="1"/>
  <c r="V32" i="1" s="1"/>
  <c r="U61" i="1"/>
  <c r="V61" i="1" s="1"/>
  <c r="S61" i="1"/>
  <c r="T61" i="1" s="1"/>
  <c r="U95" i="1"/>
  <c r="V95" i="1" s="1"/>
  <c r="S95" i="1"/>
  <c r="T95" i="1" s="1"/>
  <c r="S34" i="1"/>
  <c r="T34" i="1" s="1"/>
  <c r="U34" i="1"/>
  <c r="V34" i="1" s="1"/>
  <c r="U69" i="1"/>
  <c r="V69" i="1" s="1"/>
  <c r="S69" i="1"/>
  <c r="T69" i="1" s="1"/>
  <c r="U101" i="1"/>
  <c r="V101" i="1" s="1"/>
  <c r="S101" i="1"/>
  <c r="T101" i="1" s="1"/>
  <c r="U103" i="1"/>
  <c r="V103" i="1" s="1"/>
  <c r="S103" i="1"/>
  <c r="T103" i="1" s="1"/>
  <c r="U106" i="1"/>
  <c r="V106" i="1" s="1"/>
  <c r="S106" i="1"/>
  <c r="T106" i="1" s="1"/>
  <c r="S30" i="1"/>
  <c r="T30" i="1" s="1"/>
  <c r="S35" i="1"/>
  <c r="T35" i="1" s="1"/>
  <c r="U72" i="1"/>
  <c r="V72" i="1" s="1"/>
  <c r="S72" i="1"/>
  <c r="T72" i="1" s="1"/>
  <c r="U70" i="1"/>
  <c r="V70" i="1" s="1"/>
  <c r="S70" i="1"/>
  <c r="T70" i="1" s="1"/>
  <c r="U104" i="1"/>
  <c r="V104" i="1" s="1"/>
  <c r="S104" i="1"/>
  <c r="T104" i="1" s="1"/>
  <c r="U77" i="1"/>
  <c r="V77" i="1" s="1"/>
  <c r="S77" i="1"/>
  <c r="T77" i="1" s="1"/>
  <c r="S31" i="1"/>
  <c r="T31" i="1" s="1"/>
  <c r="U62" i="1"/>
  <c r="V62" i="1" s="1"/>
  <c r="S62" i="1"/>
  <c r="T62" i="1" s="1"/>
  <c r="U63" i="1"/>
  <c r="V63" i="1" s="1"/>
  <c r="S63" i="1"/>
  <c r="T63" i="1" s="1"/>
  <c r="U71" i="1"/>
  <c r="V71" i="1" s="1"/>
  <c r="S71" i="1"/>
  <c r="T71" i="1" s="1"/>
  <c r="U60" i="1"/>
  <c r="V60" i="1" s="1"/>
  <c r="S60" i="1"/>
  <c r="T60" i="1" s="1"/>
  <c r="U108" i="1"/>
  <c r="V108" i="1" s="1"/>
  <c r="S108" i="1"/>
  <c r="T108" i="1" s="1"/>
  <c r="U96" i="1"/>
  <c r="V96" i="1" s="1"/>
  <c r="S96" i="1"/>
  <c r="T96" i="1" s="1"/>
  <c r="S24" i="1"/>
  <c r="T24" i="1" s="1"/>
  <c r="U24" i="1"/>
  <c r="V24" i="1" s="1"/>
  <c r="U68" i="1"/>
  <c r="V68" i="1" s="1"/>
  <c r="S68" i="1"/>
  <c r="T68" i="1" s="1"/>
  <c r="U102" i="1"/>
  <c r="V102" i="1" s="1"/>
  <c r="S102" i="1"/>
  <c r="T102" i="1" s="1"/>
  <c r="U98" i="1"/>
  <c r="V98" i="1" s="1"/>
  <c r="S98" i="1"/>
  <c r="T98" i="1" s="1"/>
  <c r="U90" i="1"/>
  <c r="V90" i="1" s="1"/>
  <c r="S90" i="1"/>
  <c r="T90" i="1" s="1"/>
  <c r="U99" i="1"/>
  <c r="V99" i="1" s="1"/>
  <c r="S99" i="1"/>
  <c r="T99" i="1" s="1"/>
  <c r="U41" i="1"/>
  <c r="V41" i="1" s="1"/>
  <c r="S41" i="1"/>
  <c r="T41" i="1" s="1"/>
  <c r="U66" i="1"/>
  <c r="V66" i="1" s="1"/>
  <c r="S66" i="1"/>
  <c r="T66" i="1" s="1"/>
  <c r="U100" i="1"/>
  <c r="V100" i="1" s="1"/>
  <c r="S100" i="1"/>
  <c r="T100" i="1" s="1"/>
  <c r="U67" i="1"/>
  <c r="V67" i="1" s="1"/>
  <c r="S67" i="1"/>
  <c r="T67" i="1" s="1"/>
  <c r="AF36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17" i="1" s="1"/>
  <c r="Z78" i="1" l="1"/>
  <c r="AA78" i="1" s="1"/>
  <c r="Z79" i="1"/>
  <c r="AA79" i="1" s="1"/>
  <c r="Z80" i="1"/>
  <c r="AA80" i="1" s="1"/>
  <c r="Z81" i="1"/>
  <c r="AA81" i="1" s="1"/>
  <c r="Z82" i="1"/>
  <c r="AA82" i="1" s="1"/>
  <c r="Z83" i="1"/>
  <c r="AA83" i="1" s="1"/>
  <c r="Z84" i="1"/>
  <c r="AA84" i="1" s="1"/>
  <c r="Z85" i="1"/>
  <c r="AA85" i="1" s="1"/>
  <c r="Z86" i="1"/>
  <c r="AA86" i="1" s="1"/>
  <c r="Z87" i="1"/>
  <c r="AA87" i="1" s="1"/>
  <c r="Z88" i="1"/>
  <c r="AA88" i="1" s="1"/>
  <c r="Z89" i="1"/>
  <c r="AA89" i="1" s="1"/>
  <c r="Z90" i="1"/>
  <c r="AA90" i="1" s="1"/>
  <c r="AF90" i="1" l="1"/>
  <c r="AD90" i="1"/>
  <c r="Z60" i="1"/>
  <c r="AA60" i="1" s="1"/>
  <c r="Z61" i="1"/>
  <c r="AA61" i="1" s="1"/>
  <c r="Z62" i="1"/>
  <c r="AA62" i="1" s="1"/>
  <c r="Z63" i="1"/>
  <c r="AA63" i="1" s="1"/>
  <c r="Z64" i="1"/>
  <c r="AA64" i="1" s="1"/>
  <c r="Z65" i="1"/>
  <c r="AA65" i="1" s="1"/>
  <c r="Z66" i="1"/>
  <c r="AA66" i="1" s="1"/>
  <c r="Z67" i="1"/>
  <c r="AA67" i="1" s="1"/>
  <c r="Z68" i="1"/>
  <c r="AA68" i="1" s="1"/>
  <c r="Z69" i="1"/>
  <c r="AA69" i="1" s="1"/>
  <c r="Z70" i="1"/>
  <c r="AA70" i="1" s="1"/>
  <c r="Z71" i="1"/>
  <c r="AA71" i="1" s="1"/>
  <c r="Z72" i="1"/>
  <c r="AA72" i="1" s="1"/>
  <c r="AA42" i="1"/>
  <c r="AA43" i="1"/>
  <c r="AA44" i="1"/>
  <c r="AA45" i="1"/>
  <c r="AA46" i="1"/>
  <c r="AA47" i="1"/>
  <c r="AA48" i="1"/>
  <c r="AA49" i="1"/>
  <c r="AA50" i="1"/>
  <c r="AA51" i="1"/>
  <c r="AA52" i="1"/>
  <c r="AA53" i="1"/>
  <c r="E78" i="1"/>
  <c r="F78" i="1" s="1"/>
  <c r="E79" i="1"/>
  <c r="F79" i="1" s="1"/>
  <c r="E80" i="1"/>
  <c r="F80" i="1" s="1"/>
  <c r="E81" i="1"/>
  <c r="F81" i="1" s="1"/>
  <c r="E82" i="1"/>
  <c r="F82" i="1" s="1"/>
  <c r="E83" i="1"/>
  <c r="F83" i="1" s="1"/>
  <c r="E84" i="1"/>
  <c r="F84" i="1" s="1"/>
  <c r="E85" i="1"/>
  <c r="F85" i="1" s="1"/>
  <c r="E86" i="1"/>
  <c r="F86" i="1" s="1"/>
  <c r="E87" i="1"/>
  <c r="F87" i="1" s="1"/>
  <c r="E88" i="1"/>
  <c r="F88" i="1" s="1"/>
  <c r="E89" i="1"/>
  <c r="F89" i="1" s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BH82" i="1" l="1"/>
  <c r="BG82" i="1"/>
  <c r="S49" i="1"/>
  <c r="T49" i="1" s="1"/>
  <c r="BH49" i="1"/>
  <c r="BG49" i="1"/>
  <c r="BG89" i="1"/>
  <c r="BH89" i="1"/>
  <c r="BG81" i="1"/>
  <c r="BH81" i="1"/>
  <c r="S48" i="1"/>
  <c r="T48" i="1" s="1"/>
  <c r="BH48" i="1"/>
  <c r="BG48" i="1"/>
  <c r="BG88" i="1"/>
  <c r="BH88" i="1"/>
  <c r="BG80" i="1"/>
  <c r="BH80" i="1"/>
  <c r="S42" i="1"/>
  <c r="T42" i="1" s="1"/>
  <c r="BG42" i="1"/>
  <c r="BH42" i="1"/>
  <c r="S47" i="1"/>
  <c r="T47" i="1" s="1"/>
  <c r="BG47" i="1"/>
  <c r="BH47" i="1"/>
  <c r="BG87" i="1"/>
  <c r="BH87" i="1"/>
  <c r="BG79" i="1"/>
  <c r="BH79" i="1"/>
  <c r="S51" i="1"/>
  <c r="T51" i="1" s="1"/>
  <c r="BG51" i="1"/>
  <c r="BH51" i="1"/>
  <c r="S46" i="1"/>
  <c r="T46" i="1" s="1"/>
  <c r="BG46" i="1"/>
  <c r="BH46" i="1"/>
  <c r="BG86" i="1"/>
  <c r="BH86" i="1"/>
  <c r="BG78" i="1"/>
  <c r="BH78" i="1"/>
  <c r="S50" i="1"/>
  <c r="T50" i="1" s="1"/>
  <c r="BG50" i="1"/>
  <c r="BH50" i="1"/>
  <c r="S45" i="1"/>
  <c r="T45" i="1" s="1"/>
  <c r="BG45" i="1"/>
  <c r="BH45" i="1"/>
  <c r="S43" i="1"/>
  <c r="T43" i="1" s="1"/>
  <c r="BG43" i="1"/>
  <c r="BH43" i="1"/>
  <c r="S54" i="1"/>
  <c r="T54" i="1" s="1"/>
  <c r="BG54" i="1"/>
  <c r="BH54" i="1"/>
  <c r="S53" i="1"/>
  <c r="T53" i="1" s="1"/>
  <c r="BG53" i="1"/>
  <c r="BH53" i="1"/>
  <c r="BG85" i="1"/>
  <c r="BH85" i="1"/>
  <c r="S52" i="1"/>
  <c r="T52" i="1" s="1"/>
  <c r="BG52" i="1"/>
  <c r="BH52" i="1"/>
  <c r="S44" i="1"/>
  <c r="T44" i="1" s="1"/>
  <c r="BG44" i="1"/>
  <c r="BH44" i="1"/>
  <c r="BH84" i="1"/>
  <c r="BG84" i="1"/>
  <c r="BH83" i="1"/>
  <c r="BG83" i="1"/>
  <c r="O81" i="1"/>
  <c r="P81" i="1" s="1"/>
  <c r="S81" i="1"/>
  <c r="T81" i="1" s="1"/>
  <c r="O80" i="1"/>
  <c r="P80" i="1" s="1"/>
  <c r="S80" i="1"/>
  <c r="T80" i="1" s="1"/>
  <c r="O87" i="1"/>
  <c r="P87" i="1" s="1"/>
  <c r="S87" i="1"/>
  <c r="T87" i="1" s="1"/>
  <c r="O79" i="1"/>
  <c r="P79" i="1" s="1"/>
  <c r="S79" i="1"/>
  <c r="T79" i="1" s="1"/>
  <c r="O86" i="1"/>
  <c r="P86" i="1" s="1"/>
  <c r="S86" i="1"/>
  <c r="T86" i="1" s="1"/>
  <c r="O78" i="1"/>
  <c r="P78" i="1" s="1"/>
  <c r="S78" i="1"/>
  <c r="T78" i="1" s="1"/>
  <c r="O84" i="1"/>
  <c r="P84" i="1" s="1"/>
  <c r="S84" i="1"/>
  <c r="T84" i="1" s="1"/>
  <c r="O82" i="1"/>
  <c r="P82" i="1" s="1"/>
  <c r="S82" i="1"/>
  <c r="T82" i="1" s="1"/>
  <c r="O89" i="1"/>
  <c r="P89" i="1" s="1"/>
  <c r="S89" i="1"/>
  <c r="T89" i="1" s="1"/>
  <c r="O88" i="1"/>
  <c r="P88" i="1" s="1"/>
  <c r="S88" i="1"/>
  <c r="T88" i="1" s="1"/>
  <c r="O85" i="1"/>
  <c r="P85" i="1" s="1"/>
  <c r="S85" i="1"/>
  <c r="T85" i="1" s="1"/>
  <c r="O83" i="1"/>
  <c r="P83" i="1" s="1"/>
  <c r="S83" i="1"/>
  <c r="T83" i="1" s="1"/>
  <c r="AD82" i="1"/>
  <c r="AD80" i="1"/>
  <c r="AD78" i="1"/>
  <c r="AD88" i="1"/>
  <c r="AD86" i="1"/>
  <c r="AD85" i="1"/>
  <c r="AF72" i="1"/>
  <c r="AD72" i="1"/>
  <c r="AD43" i="1"/>
  <c r="AF65" i="1"/>
  <c r="AD65" i="1"/>
  <c r="AD49" i="1"/>
  <c r="AF71" i="1"/>
  <c r="AD71" i="1"/>
  <c r="AD47" i="1"/>
  <c r="AF62" i="1"/>
  <c r="AD62" i="1"/>
  <c r="AD81" i="1"/>
  <c r="O54" i="1"/>
  <c r="P54" i="1" s="1"/>
  <c r="AD54" i="1"/>
  <c r="J54" i="1"/>
  <c r="K54" i="1" s="1"/>
  <c r="AD46" i="1"/>
  <c r="AF61" i="1"/>
  <c r="AD61" i="1"/>
  <c r="O53" i="1"/>
  <c r="P53" i="1" s="1"/>
  <c r="AH53" i="1" s="1"/>
  <c r="J53" i="1"/>
  <c r="K53" i="1" s="1"/>
  <c r="O45" i="1"/>
  <c r="P45" i="1" s="1"/>
  <c r="AH45" i="1" s="1"/>
  <c r="J45" i="1"/>
  <c r="K45" i="1" s="1"/>
  <c r="AD53" i="1"/>
  <c r="AD45" i="1"/>
  <c r="AF68" i="1"/>
  <c r="AD68" i="1"/>
  <c r="AF60" i="1"/>
  <c r="AD60" i="1"/>
  <c r="AD87" i="1"/>
  <c r="AD89" i="1"/>
  <c r="AD84" i="1"/>
  <c r="O51" i="1"/>
  <c r="P51" i="1" s="1"/>
  <c r="AH51" i="1" s="1"/>
  <c r="J51" i="1"/>
  <c r="K51" i="1" s="1"/>
  <c r="O43" i="1"/>
  <c r="P43" i="1" s="1"/>
  <c r="AH43" i="1" s="1"/>
  <c r="J43" i="1"/>
  <c r="K43" i="1" s="1"/>
  <c r="AD51" i="1"/>
  <c r="AF66" i="1"/>
  <c r="AD66" i="1"/>
  <c r="O50" i="1"/>
  <c r="P50" i="1" s="1"/>
  <c r="AH50" i="1" s="1"/>
  <c r="J50" i="1"/>
  <c r="K50" i="1" s="1"/>
  <c r="O42" i="1"/>
  <c r="P42" i="1" s="1"/>
  <c r="AH42" i="1" s="1"/>
  <c r="J42" i="1"/>
  <c r="K42" i="1" s="1"/>
  <c r="AD50" i="1"/>
  <c r="AD42" i="1"/>
  <c r="O49" i="1"/>
  <c r="P49" i="1" s="1"/>
  <c r="AH49" i="1" s="1"/>
  <c r="J49" i="1"/>
  <c r="K49" i="1" s="1"/>
  <c r="AF64" i="1"/>
  <c r="AD64" i="1"/>
  <c r="O48" i="1"/>
  <c r="P48" i="1" s="1"/>
  <c r="AH48" i="1" s="1"/>
  <c r="J48" i="1"/>
  <c r="K48" i="1" s="1"/>
  <c r="AD48" i="1"/>
  <c r="AF63" i="1"/>
  <c r="AD63" i="1"/>
  <c r="O47" i="1"/>
  <c r="P47" i="1" s="1"/>
  <c r="AH47" i="1" s="1"/>
  <c r="J47" i="1"/>
  <c r="K47" i="1" s="1"/>
  <c r="AF70" i="1"/>
  <c r="AD70" i="1"/>
  <c r="AD79" i="1"/>
  <c r="AD83" i="1"/>
  <c r="O46" i="1"/>
  <c r="P46" i="1" s="1"/>
  <c r="AH46" i="1" s="1"/>
  <c r="J46" i="1"/>
  <c r="K46" i="1" s="1"/>
  <c r="AF69" i="1"/>
  <c r="AD69" i="1"/>
  <c r="O52" i="1"/>
  <c r="P52" i="1" s="1"/>
  <c r="J52" i="1"/>
  <c r="K52" i="1" s="1"/>
  <c r="O44" i="1"/>
  <c r="P44" i="1" s="1"/>
  <c r="AH44" i="1" s="1"/>
  <c r="J44" i="1"/>
  <c r="K44" i="1" s="1"/>
  <c r="AD52" i="1"/>
  <c r="AD44" i="1"/>
  <c r="AF67" i="1"/>
  <c r="AD67" i="1"/>
  <c r="K62" i="1"/>
  <c r="J84" i="1"/>
  <c r="K84" i="1" s="1"/>
  <c r="K69" i="1"/>
  <c r="K61" i="1"/>
  <c r="K77" i="1"/>
  <c r="J83" i="1"/>
  <c r="K83" i="1" s="1"/>
  <c r="K68" i="1"/>
  <c r="K60" i="1"/>
  <c r="J90" i="1"/>
  <c r="K90" i="1" s="1"/>
  <c r="J82" i="1"/>
  <c r="K82" i="1" s="1"/>
  <c r="K67" i="1"/>
  <c r="J89" i="1"/>
  <c r="K89" i="1" s="1"/>
  <c r="J81" i="1"/>
  <c r="K81" i="1" s="1"/>
  <c r="K66" i="1"/>
  <c r="J88" i="1"/>
  <c r="K88" i="1" s="1"/>
  <c r="J80" i="1"/>
  <c r="K80" i="1" s="1"/>
  <c r="K70" i="1"/>
  <c r="K59" i="1"/>
  <c r="K65" i="1"/>
  <c r="J87" i="1"/>
  <c r="K87" i="1" s="1"/>
  <c r="J79" i="1"/>
  <c r="K79" i="1" s="1"/>
  <c r="K72" i="1"/>
  <c r="K64" i="1"/>
  <c r="J86" i="1"/>
  <c r="K86" i="1" s="1"/>
  <c r="J78" i="1"/>
  <c r="K78" i="1" s="1"/>
  <c r="K71" i="1"/>
  <c r="K63" i="1"/>
  <c r="J85" i="1"/>
  <c r="K85" i="1" s="1"/>
  <c r="N11" i="1" l="1"/>
  <c r="AF83" i="1"/>
  <c r="AF85" i="1"/>
  <c r="AF84" i="1"/>
  <c r="AF87" i="1"/>
  <c r="AF82" i="1"/>
  <c r="AF78" i="1"/>
  <c r="AF79" i="1"/>
  <c r="AF88" i="1"/>
  <c r="AF80" i="1"/>
  <c r="AF89" i="1"/>
  <c r="AF86" i="1"/>
  <c r="AF81" i="1"/>
  <c r="AF44" i="1"/>
  <c r="AF49" i="1"/>
  <c r="AF50" i="1"/>
  <c r="AF51" i="1"/>
  <c r="AH54" i="1"/>
  <c r="AF54" i="1"/>
  <c r="AF52" i="1"/>
  <c r="AF48" i="1"/>
  <c r="AF42" i="1"/>
  <c r="AF45" i="1"/>
  <c r="AF53" i="1"/>
  <c r="AF46" i="1"/>
  <c r="AF47" i="1"/>
  <c r="AF4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F29" i="1" l="1"/>
  <c r="AD29" i="1"/>
  <c r="AF28" i="1"/>
  <c r="AD28" i="1"/>
  <c r="AF35" i="1"/>
  <c r="AD35" i="1"/>
  <c r="AF27" i="1"/>
  <c r="AD27" i="1"/>
  <c r="AF34" i="1"/>
  <c r="AD34" i="1"/>
  <c r="AF26" i="1"/>
  <c r="AD26" i="1"/>
  <c r="AF33" i="1"/>
  <c r="AD33" i="1"/>
  <c r="AF25" i="1"/>
  <c r="AD25" i="1"/>
  <c r="AF32" i="1"/>
  <c r="AD32" i="1"/>
  <c r="AF24" i="1"/>
  <c r="AD24" i="1"/>
  <c r="AF31" i="1"/>
  <c r="AD31" i="1"/>
  <c r="AF30" i="1"/>
  <c r="AD30" i="1"/>
</calcChain>
</file>

<file path=xl/sharedStrings.xml><?xml version="1.0" encoding="utf-8"?>
<sst xmlns="http://schemas.openxmlformats.org/spreadsheetml/2006/main" count="439" uniqueCount="66">
  <si>
    <t>Step</t>
  </si>
  <si>
    <t>Total Load (N)</t>
  </si>
  <si>
    <t>Contact Width (mm)</t>
  </si>
  <si>
    <r>
      <t>Contact Area (mm</t>
    </r>
    <r>
      <rPr>
        <b/>
        <vertAlign val="super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)</t>
    </r>
  </si>
  <si>
    <t>Nom Pressure (MPa)</t>
  </si>
  <si>
    <t>Pixel size (μm)</t>
  </si>
  <si>
    <t>Effective Modulus E* (MPa):</t>
  </si>
  <si>
    <t xml:space="preserve">FOV Width (mm): </t>
  </si>
  <si>
    <t xml:space="preserve">FOV Length (mm): </t>
  </si>
  <si>
    <t>Contact Half Width a (mm)</t>
  </si>
  <si>
    <t>Parameters:</t>
  </si>
  <si>
    <t>Tow type:</t>
  </si>
  <si>
    <t>Total Ld Cell forces (N)</t>
  </si>
  <si>
    <t>Total Ld Cell Zeroed force (N)</t>
  </si>
  <si>
    <t>Coefficient of Friction</t>
  </si>
  <si>
    <t>Nom Pressure (kPa)</t>
  </si>
  <si>
    <r>
      <t>(A)*(</t>
    </r>
    <r>
      <rPr>
        <b/>
        <sz val="11"/>
        <color theme="1"/>
        <rFont val="Calibri"/>
        <family val="2"/>
      </rPr>
      <t>τ</t>
    </r>
    <r>
      <rPr>
        <b/>
        <sz val="9.35"/>
        <color theme="1"/>
        <rFont val="Calibri"/>
        <family val="2"/>
      </rPr>
      <t>)</t>
    </r>
  </si>
  <si>
    <t>F/A (MPa)</t>
  </si>
  <si>
    <t xml:space="preserve">Mass of glass plate plus window plate (kg) </t>
  </si>
  <si>
    <r>
      <t>Contact Width (</t>
    </r>
    <r>
      <rPr>
        <b/>
        <sz val="11"/>
        <color theme="1"/>
        <rFont val="Calibri"/>
        <family val="2"/>
      </rPr>
      <t>µ</t>
    </r>
    <r>
      <rPr>
        <b/>
        <sz val="11"/>
        <color theme="1"/>
        <rFont val="Calibri"/>
        <family val="2"/>
        <scheme val="minor"/>
      </rPr>
      <t>m)</t>
    </r>
  </si>
  <si>
    <t>T700-12k-60E</t>
  </si>
  <si>
    <t>T700-12k-50C</t>
  </si>
  <si>
    <t xml:space="preserve">Test 2 </t>
  </si>
  <si>
    <t xml:space="preserve">Test 1 </t>
  </si>
  <si>
    <t xml:space="preserve">Test 3 </t>
  </si>
  <si>
    <t xml:space="preserve">Test 4 </t>
  </si>
  <si>
    <t>Test 5</t>
  </si>
  <si>
    <t>Friction Force (N)</t>
  </si>
  <si>
    <t>Static</t>
  </si>
  <si>
    <t>Friction Force (N) (zeroed)</t>
  </si>
  <si>
    <r>
      <t xml:space="preserve">Friction Force </t>
    </r>
    <r>
      <rPr>
        <b/>
        <i/>
        <sz val="11"/>
        <color theme="1"/>
        <rFont val="Calibri"/>
        <family val="2"/>
        <scheme val="minor"/>
      </rPr>
      <t>F</t>
    </r>
    <r>
      <rPr>
        <b/>
        <sz val="11"/>
        <color theme="1"/>
        <rFont val="Calibri"/>
        <family val="2"/>
        <scheme val="minor"/>
      </rPr>
      <t xml:space="preserve"> (N) [per one  contact]</t>
    </r>
  </si>
  <si>
    <t>Friction Forces</t>
  </si>
  <si>
    <t>Force at zero ld:</t>
  </si>
  <si>
    <t>Contact Length (pxl) [scanned area]</t>
  </si>
  <si>
    <r>
      <t xml:space="preserve">Contact Length </t>
    </r>
    <r>
      <rPr>
        <b/>
        <sz val="11"/>
        <color theme="1"/>
        <rFont val="Calibri"/>
        <family val="2"/>
        <scheme val="minor"/>
      </rPr>
      <t xml:space="preserve"> (m</t>
    </r>
    <r>
      <rPr>
        <b/>
        <sz val="11"/>
        <color theme="1"/>
        <rFont val="Calibri"/>
        <family val="2"/>
      </rPr>
      <t>m</t>
    </r>
    <r>
      <rPr>
        <b/>
        <sz val="11"/>
        <color theme="1"/>
        <rFont val="Calibri"/>
        <family val="2"/>
        <scheme val="minor"/>
      </rPr>
      <t>) [scanned area]</t>
    </r>
  </si>
  <si>
    <r>
      <t>Contact Length L</t>
    </r>
    <r>
      <rPr>
        <b/>
        <vertAlign val="subscript"/>
        <sz val="11"/>
        <color theme="1"/>
        <rFont val="Calibri"/>
        <family val="2"/>
        <scheme val="minor"/>
      </rPr>
      <t xml:space="preserve">mic </t>
    </r>
    <r>
      <rPr>
        <b/>
        <sz val="11"/>
        <color theme="1"/>
        <rFont val="Calibri"/>
        <family val="2"/>
        <scheme val="minor"/>
      </rPr>
      <t>(mm) [entire contact patch]</t>
    </r>
  </si>
  <si>
    <t>No of FOV's in horizontal direction:</t>
  </si>
  <si>
    <t>Length, Entire contact patch (mm) :</t>
  </si>
  <si>
    <t>Length, scanned area (mm):</t>
  </si>
  <si>
    <r>
      <t>Filament diameter d (m</t>
    </r>
    <r>
      <rPr>
        <sz val="11"/>
        <color theme="1"/>
        <rFont val="Calibri"/>
        <family val="2"/>
      </rPr>
      <t>m)</t>
    </r>
    <r>
      <rPr>
        <sz val="11"/>
        <color theme="1"/>
        <rFont val="Calibri"/>
        <family val="2"/>
        <scheme val="minor"/>
      </rPr>
      <t>:</t>
    </r>
  </si>
  <si>
    <r>
      <t>Total contact area (mm</t>
    </r>
    <r>
      <rPr>
        <b/>
        <vertAlign val="super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 xml:space="preserve">) [entire contact patch] </t>
    </r>
  </si>
  <si>
    <t>Ideal Contact Half Width a (mm)</t>
  </si>
  <si>
    <t>Ideal total contact area (mm)</t>
  </si>
  <si>
    <t>Total Ideal Contact Length (mm) [entire contact patch]</t>
  </si>
  <si>
    <t>Contact Length/Ideal contact length</t>
  </si>
  <si>
    <t>Ideal Arrangement of perfectly aligned filaments</t>
  </si>
  <si>
    <t>%Contact Length</t>
  </si>
  <si>
    <t>95% confidence bounds</t>
  </si>
  <si>
    <t>coefficients</t>
  </si>
  <si>
    <t>k1</t>
  </si>
  <si>
    <t>n1</t>
  </si>
  <si>
    <t>k2</t>
  </si>
  <si>
    <t>n2</t>
  </si>
  <si>
    <t>T700SC-12k-60E</t>
  </si>
  <si>
    <t>T700SC-12k-50C</t>
  </si>
  <si>
    <r>
      <rPr>
        <b/>
        <i/>
        <sz val="11"/>
        <color theme="1"/>
        <rFont val="Calibri"/>
        <family val="2"/>
        <scheme val="minor"/>
      </rPr>
      <t>k</t>
    </r>
    <r>
      <rPr>
        <b/>
        <vertAlign val="subscript"/>
        <sz val="11"/>
        <color theme="1"/>
        <rFont val="Calibri"/>
        <family val="2"/>
        <scheme val="minor"/>
      </rPr>
      <t>1</t>
    </r>
  </si>
  <si>
    <r>
      <rPr>
        <b/>
        <i/>
        <sz val="11"/>
        <color theme="1"/>
        <rFont val="Calibri"/>
        <family val="2"/>
        <scheme val="minor"/>
      </rPr>
      <t>n</t>
    </r>
    <r>
      <rPr>
        <b/>
        <vertAlign val="subscript"/>
        <sz val="11"/>
        <color theme="1"/>
        <rFont val="Calibri"/>
        <family val="2"/>
        <scheme val="minor"/>
      </rPr>
      <t>1</t>
    </r>
  </si>
  <si>
    <r>
      <t>k</t>
    </r>
    <r>
      <rPr>
        <b/>
        <i/>
        <vertAlign val="subscript"/>
        <sz val="11"/>
        <color theme="1"/>
        <rFont val="Calibri"/>
        <family val="2"/>
        <scheme val="minor"/>
      </rPr>
      <t>2</t>
    </r>
  </si>
  <si>
    <r>
      <t>n</t>
    </r>
    <r>
      <rPr>
        <b/>
        <i/>
        <vertAlign val="subscript"/>
        <sz val="11"/>
        <color theme="1"/>
        <rFont val="Calibri"/>
        <family val="2"/>
        <scheme val="minor"/>
      </rPr>
      <t>2</t>
    </r>
  </si>
  <si>
    <r>
      <rPr>
        <i/>
        <sz val="11"/>
        <color theme="1"/>
        <rFont val="Calibri"/>
        <family val="2"/>
        <scheme val="minor"/>
      </rPr>
      <t>k</t>
    </r>
    <r>
      <rPr>
        <vertAlign val="sub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/</t>
    </r>
    <r>
      <rPr>
        <i/>
        <sz val="11"/>
        <color theme="1"/>
        <rFont val="Calibri"/>
        <family val="2"/>
        <scheme val="minor"/>
      </rPr>
      <t>k</t>
    </r>
    <r>
      <rPr>
        <vertAlign val="subscript"/>
        <sz val="11"/>
        <color theme="1"/>
        <rFont val="Calibri"/>
        <family val="2"/>
        <scheme val="minor"/>
      </rPr>
      <t>2</t>
    </r>
  </si>
  <si>
    <r>
      <rPr>
        <b/>
        <i/>
        <sz val="11"/>
        <color theme="1"/>
        <rFont val="Calibri"/>
        <family val="2"/>
        <scheme val="minor"/>
      </rPr>
      <t>F</t>
    </r>
    <r>
      <rPr>
        <b/>
        <sz val="11"/>
        <color theme="1"/>
        <rFont val="Calibri"/>
        <family val="2"/>
        <scheme val="minor"/>
      </rPr>
      <t>-</t>
    </r>
    <r>
      <rPr>
        <b/>
        <i/>
        <sz val="11"/>
        <color theme="1"/>
        <rFont val="Calibri"/>
        <family val="2"/>
        <scheme val="minor"/>
      </rPr>
      <t>W</t>
    </r>
    <r>
      <rPr>
        <b/>
        <sz val="11"/>
        <color theme="1"/>
        <rFont val="Calibri"/>
        <family val="2"/>
        <scheme val="minor"/>
      </rPr>
      <t xml:space="preserve"> Curve fits</t>
    </r>
  </si>
  <si>
    <r>
      <rPr>
        <b/>
        <i/>
        <sz val="11"/>
        <color theme="1"/>
        <rFont val="Calibri"/>
        <family val="2"/>
        <scheme val="minor"/>
      </rPr>
      <t>A</t>
    </r>
    <r>
      <rPr>
        <b/>
        <sz val="11"/>
        <color theme="1"/>
        <rFont val="Calibri"/>
        <family val="2"/>
        <scheme val="minor"/>
      </rPr>
      <t>-</t>
    </r>
    <r>
      <rPr>
        <b/>
        <i/>
        <sz val="11"/>
        <color theme="1"/>
        <rFont val="Calibri"/>
        <family val="2"/>
        <scheme val="minor"/>
      </rPr>
      <t>W</t>
    </r>
    <r>
      <rPr>
        <b/>
        <sz val="11"/>
        <color theme="1"/>
        <rFont val="Calibri"/>
        <family val="2"/>
        <scheme val="minor"/>
      </rPr>
      <t xml:space="preserve"> Curve fits</t>
    </r>
  </si>
  <si>
    <t>Fitted Friction force</t>
  </si>
  <si>
    <t>Fitted Real Contact Area</t>
  </si>
  <si>
    <t>FITTING PARAMETERS</t>
  </si>
  <si>
    <t xml:space="preserve">Test 5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</si>
</sst>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2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vertAlign val="subscript"/>
      <sz val="11"/>
      <color theme="1"/>
      <name val="Calibri"/>
      <family val="2"/>
      <scheme val="minor"/>
    </font>
    <font>
      <b/>
      <sz val="9.35"/>
      <color theme="1"/>
      <name val="Calibri"/>
      <family val="2"/>
    </font>
    <font>
      <sz val="1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vertAlign val="subscript"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2">
    <xf numFmtId="0" fontId="0" fillId="0" borderId="0"/>
    <xf numFmtId="0" fontId="3" fillId="0" borderId="0" applyNumberFormat="0" applyFill="0" applyBorder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6" fillId="0" borderId="4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5" applyNumberFormat="0" applyAlignment="0" applyProtection="0"/>
    <xf numFmtId="0" fontId="11" fillId="6" borderId="6" applyNumberFormat="0" applyAlignment="0" applyProtection="0"/>
    <xf numFmtId="0" fontId="12" fillId="6" borderId="5" applyNumberFormat="0" applyAlignment="0" applyProtection="0"/>
    <xf numFmtId="0" fontId="13" fillId="0" borderId="7" applyNumberFormat="0" applyFill="0" applyAlignment="0" applyProtection="0"/>
    <xf numFmtId="0" fontId="14" fillId="7" borderId="8" applyNumberFormat="0" applyAlignment="0" applyProtection="0"/>
    <xf numFmtId="0" fontId="15" fillId="0" borderId="0" applyNumberFormat="0" applyFill="0" applyBorder="0" applyAlignment="0" applyProtection="0"/>
    <xf numFmtId="0" fontId="2" fillId="8" borderId="9" applyNumberFormat="0" applyFont="0" applyAlignment="0" applyProtection="0"/>
    <xf numFmtId="0" fontId="16" fillId="0" borderId="0" applyNumberFormat="0" applyFill="0" applyBorder="0" applyAlignment="0" applyProtection="0"/>
    <xf numFmtId="0" fontId="1" fillId="0" borderId="10" applyNumberFormat="0" applyFill="0" applyAlignment="0" applyProtection="0"/>
    <xf numFmtId="0" fontId="17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7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0" xfId="0" applyFont="1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1" fillId="0" borderId="0" xfId="0" applyFont="1"/>
    <xf numFmtId="0" fontId="0" fillId="33" borderId="0" xfId="0" applyFill="1"/>
    <xf numFmtId="0" fontId="0" fillId="33" borderId="0" xfId="0" applyFont="1" applyFill="1"/>
    <xf numFmtId="0" fontId="0" fillId="0" borderId="0" xfId="0"/>
    <xf numFmtId="0" fontId="1" fillId="33" borderId="0" xfId="0" applyFont="1" applyFill="1"/>
    <xf numFmtId="0" fontId="0" fillId="0" borderId="0" xfId="0" applyBorder="1"/>
    <xf numFmtId="0" fontId="1" fillId="34" borderId="0" xfId="0" applyFont="1" applyFill="1"/>
    <xf numFmtId="0" fontId="15" fillId="33" borderId="0" xfId="0" applyFont="1" applyFill="1"/>
    <xf numFmtId="0" fontId="1" fillId="0" borderId="1" xfId="0" applyFont="1" applyBorder="1"/>
    <xf numFmtId="0" fontId="0" fillId="0" borderId="11" xfId="0" applyBorder="1"/>
    <xf numFmtId="0" fontId="1" fillId="0" borderId="11" xfId="0" applyFont="1" applyBorder="1"/>
    <xf numFmtId="0" fontId="1" fillId="0" borderId="11" xfId="0" applyFont="1" applyFill="1" applyBorder="1"/>
    <xf numFmtId="0" fontId="15" fillId="0" borderId="0" xfId="0" applyFont="1" applyFill="1"/>
    <xf numFmtId="0" fontId="15" fillId="0" borderId="1" xfId="0" applyFont="1" applyFill="1" applyBorder="1"/>
    <xf numFmtId="0" fontId="15" fillId="0" borderId="0" xfId="0" applyFont="1"/>
    <xf numFmtId="0" fontId="15" fillId="0" borderId="1" xfId="0" applyFont="1" applyBorder="1"/>
    <xf numFmtId="0" fontId="1" fillId="0" borderId="0" xfId="0" applyFont="1" applyBorder="1"/>
    <xf numFmtId="0" fontId="23" fillId="0" borderId="0" xfId="0" applyFont="1"/>
    <xf numFmtId="0" fontId="23" fillId="0" borderId="1" xfId="0" applyFont="1" applyBorder="1"/>
    <xf numFmtId="0" fontId="0" fillId="0" borderId="0" xfId="0" applyFont="1" applyBorder="1"/>
    <xf numFmtId="0" fontId="1" fillId="34" borderId="1" xfId="0" applyFont="1" applyFill="1" applyBorder="1"/>
    <xf numFmtId="0" fontId="0" fillId="34" borderId="1" xfId="0" applyFill="1" applyBorder="1"/>
    <xf numFmtId="0" fontId="15" fillId="0" borderId="12" xfId="0" applyFont="1" applyBorder="1"/>
    <xf numFmtId="0" fontId="15" fillId="0" borderId="0" xfId="0" applyFont="1" applyBorder="1"/>
    <xf numFmtId="0" fontId="15" fillId="0" borderId="11" xfId="0" applyFont="1" applyBorder="1"/>
    <xf numFmtId="0" fontId="23" fillId="0" borderId="0" xfId="0" applyFont="1" applyBorder="1"/>
    <xf numFmtId="0" fontId="25" fillId="33" borderId="1" xfId="0" applyFont="1" applyFill="1" applyBorder="1"/>
    <xf numFmtId="0" fontId="0" fillId="33" borderId="1" xfId="0" applyFill="1" applyBorder="1"/>
    <xf numFmtId="0" fontId="0" fillId="0" borderId="12" xfId="0" applyBorder="1"/>
    <xf numFmtId="0" fontId="0" fillId="33" borderId="0" xfId="0" applyFill="1" applyBorder="1"/>
    <xf numFmtId="0" fontId="25" fillId="34" borderId="1" xfId="0" applyFont="1" applyFill="1" applyBorder="1"/>
    <xf numFmtId="0" fontId="1" fillId="0" borderId="0" xfId="0" applyFont="1" applyFill="1" applyBorder="1"/>
    <xf numFmtId="2" fontId="0" fillId="0" borderId="0" xfId="0" applyNumberFormat="1"/>
    <xf numFmtId="2" fontId="0" fillId="0" borderId="1" xfId="0" applyNumberFormat="1" applyBorder="1"/>
    <xf numFmtId="164" fontId="0" fillId="0" borderId="0" xfId="0" applyNumberFormat="1"/>
    <xf numFmtId="164" fontId="0" fillId="0" borderId="1" xfId="0" applyNumberFormat="1" applyBorder="1"/>
    <xf numFmtId="0" fontId="24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8.xml"/><Relationship Id="rId13" Type="http://schemas.openxmlformats.org/officeDocument/2006/relationships/chartsheet" Target="chartsheets/sheet13.xml"/><Relationship Id="rId18" Type="http://schemas.openxmlformats.org/officeDocument/2006/relationships/calcChain" Target="calcChain.xml"/><Relationship Id="rId3" Type="http://schemas.openxmlformats.org/officeDocument/2006/relationships/chartsheet" Target="chartsheets/sheet3.xml"/><Relationship Id="rId7" Type="http://schemas.openxmlformats.org/officeDocument/2006/relationships/chartsheet" Target="chartsheets/sheet7.xml"/><Relationship Id="rId12" Type="http://schemas.openxmlformats.org/officeDocument/2006/relationships/chartsheet" Target="chartsheets/sheet12.xml"/><Relationship Id="rId17" Type="http://schemas.openxmlformats.org/officeDocument/2006/relationships/sharedStrings" Target="sharedStrings.xml"/><Relationship Id="rId2" Type="http://schemas.openxmlformats.org/officeDocument/2006/relationships/chartsheet" Target="chartsheets/sheet2.xml"/><Relationship Id="rId16" Type="http://schemas.openxmlformats.org/officeDocument/2006/relationships/styles" Target="styles.xml"/><Relationship Id="rId1" Type="http://schemas.openxmlformats.org/officeDocument/2006/relationships/chartsheet" Target="chartsheets/sheet1.xml"/><Relationship Id="rId6" Type="http://schemas.openxmlformats.org/officeDocument/2006/relationships/chartsheet" Target="chartsheets/sheet6.xml"/><Relationship Id="rId11" Type="http://schemas.openxmlformats.org/officeDocument/2006/relationships/chartsheet" Target="chartsheets/sheet11.xml"/><Relationship Id="rId5" Type="http://schemas.openxmlformats.org/officeDocument/2006/relationships/chartsheet" Target="chartsheets/sheet5.xml"/><Relationship Id="rId15" Type="http://schemas.openxmlformats.org/officeDocument/2006/relationships/theme" Target="theme/theme1.xml"/><Relationship Id="rId10" Type="http://schemas.openxmlformats.org/officeDocument/2006/relationships/chartsheet" Target="chartsheets/sheet10.xml"/><Relationship Id="rId4" Type="http://schemas.openxmlformats.org/officeDocument/2006/relationships/chartsheet" Target="chartsheets/sheet4.xml"/><Relationship Id="rId9" Type="http://schemas.openxmlformats.org/officeDocument/2006/relationships/chartsheet" Target="chartsheets/sheet9.xml"/><Relationship Id="rId14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8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0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3.xml"/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2540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Sheet1!$F$23:$F$35</c:f>
              <c:numCache>
                <c:formatCode>General</c:formatCode>
                <c:ptCount val="13"/>
                <c:pt idx="0">
                  <c:v>7.7499000000000012E-2</c:v>
                </c:pt>
                <c:pt idx="1">
                  <c:v>0.8506156277907333</c:v>
                </c:pt>
                <c:pt idx="2">
                  <c:v>1.6543043982006049</c:v>
                </c:pt>
                <c:pt idx="3">
                  <c:v>3.3053020656447742</c:v>
                </c:pt>
                <c:pt idx="4">
                  <c:v>4.8459971672775701</c:v>
                </c:pt>
                <c:pt idx="5">
                  <c:v>6.5329298563812275</c:v>
                </c:pt>
                <c:pt idx="6">
                  <c:v>8.0960861376208104</c:v>
                </c:pt>
                <c:pt idx="7">
                  <c:v>12.061953848383862</c:v>
                </c:pt>
                <c:pt idx="8">
                  <c:v>18.536381705764761</c:v>
                </c:pt>
                <c:pt idx="9">
                  <c:v>24.009449016661161</c:v>
                </c:pt>
                <c:pt idx="10">
                  <c:v>30.293743918360757</c:v>
                </c:pt>
                <c:pt idx="11">
                  <c:v>36.017528990003186</c:v>
                </c:pt>
                <c:pt idx="12">
                  <c:v>42.117255414527833</c:v>
                </c:pt>
              </c:numCache>
            </c:numRef>
          </c:xVal>
          <c:yVal>
            <c:numRef>
              <c:f>Sheet1!$AA$23:$AA$35</c:f>
              <c:numCache>
                <c:formatCode>General</c:formatCode>
                <c:ptCount val="13"/>
                <c:pt idx="0">
                  <c:v>0.23708254159168124</c:v>
                </c:pt>
                <c:pt idx="1">
                  <c:v>0.73858254159168124</c:v>
                </c:pt>
                <c:pt idx="2">
                  <c:v>1.1550825415916812</c:v>
                </c:pt>
                <c:pt idx="3">
                  <c:v>1.7350825415916813</c:v>
                </c:pt>
                <c:pt idx="4">
                  <c:v>2.280082541591681</c:v>
                </c:pt>
                <c:pt idx="5">
                  <c:v>2.800082541591681</c:v>
                </c:pt>
                <c:pt idx="6">
                  <c:v>3.2250825415916813</c:v>
                </c:pt>
                <c:pt idx="7">
                  <c:v>4.110082541591682</c:v>
                </c:pt>
                <c:pt idx="8">
                  <c:v>5.4800825415916812</c:v>
                </c:pt>
                <c:pt idx="9">
                  <c:v>6.7250825415916813</c:v>
                </c:pt>
                <c:pt idx="10">
                  <c:v>8.0400825415916817</c:v>
                </c:pt>
                <c:pt idx="11">
                  <c:v>9.2150825415916824</c:v>
                </c:pt>
                <c:pt idx="12">
                  <c:v>10.375082541591681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6A8-4C2E-B5EB-7045EC13F10D}"/>
            </c:ext>
          </c:extLst>
        </c:ser>
        <c:ser>
          <c:idx val="1"/>
          <c:order val="1"/>
          <c:spPr>
            <a:ln w="25400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Sheet1!$F$23:$F$35</c:f>
              <c:numCache>
                <c:formatCode>General</c:formatCode>
                <c:ptCount val="13"/>
                <c:pt idx="0">
                  <c:v>7.7499000000000012E-2</c:v>
                </c:pt>
                <c:pt idx="1">
                  <c:v>0.8506156277907333</c:v>
                </c:pt>
                <c:pt idx="2">
                  <c:v>1.6543043982006049</c:v>
                </c:pt>
                <c:pt idx="3">
                  <c:v>3.3053020656447742</c:v>
                </c:pt>
                <c:pt idx="4">
                  <c:v>4.8459971672775701</c:v>
                </c:pt>
                <c:pt idx="5">
                  <c:v>6.5329298563812275</c:v>
                </c:pt>
                <c:pt idx="6">
                  <c:v>8.0960861376208104</c:v>
                </c:pt>
                <c:pt idx="7">
                  <c:v>12.061953848383862</c:v>
                </c:pt>
                <c:pt idx="8">
                  <c:v>18.536381705764761</c:v>
                </c:pt>
                <c:pt idx="9">
                  <c:v>24.009449016661161</c:v>
                </c:pt>
                <c:pt idx="10">
                  <c:v>30.293743918360757</c:v>
                </c:pt>
                <c:pt idx="11">
                  <c:v>36.017528990003186</c:v>
                </c:pt>
                <c:pt idx="12">
                  <c:v>42.117255414527833</c:v>
                </c:pt>
              </c:numCache>
            </c:numRef>
          </c:xVal>
          <c:yVal>
            <c:numRef>
              <c:f>Sheet1!$AH$23:$AH$35</c:f>
              <c:numCache>
                <c:formatCode>General</c:formatCode>
                <c:ptCount val="13"/>
                <c:pt idx="0">
                  <c:v>0.1044509645464592</c:v>
                </c:pt>
                <c:pt idx="1">
                  <c:v>0.53615368472167191</c:v>
                </c:pt>
                <c:pt idx="2">
                  <c:v>0.88411979960838594</c:v>
                </c:pt>
                <c:pt idx="3">
                  <c:v>1.4667491272197657</c:v>
                </c:pt>
                <c:pt idx="4">
                  <c:v>2.0302282909627851</c:v>
                </c:pt>
                <c:pt idx="5">
                  <c:v>2.6285174075804556</c:v>
                </c:pt>
                <c:pt idx="6">
                  <c:v>3.1696891562437219</c:v>
                </c:pt>
                <c:pt idx="7">
                  <c:v>4.1630845812847008</c:v>
                </c:pt>
                <c:pt idx="8">
                  <c:v>5.6974566771059569</c:v>
                </c:pt>
                <c:pt idx="9">
                  <c:v>6.9165448531922236</c:v>
                </c:pt>
                <c:pt idx="10">
                  <c:v>8.2290491435899451</c:v>
                </c:pt>
                <c:pt idx="11">
                  <c:v>9.337593306559743</c:v>
                </c:pt>
                <c:pt idx="12">
                  <c:v>10.481985743330052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6A8-4C2E-B5EB-7045EC13F1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9981816"/>
        <c:axId val="230867952"/>
      </c:scatterChart>
      <c:valAx>
        <c:axId val="259981816"/>
        <c:scaling>
          <c:orientation val="minMax"/>
          <c:max val="50"/>
        </c:scaling>
        <c:delete val="0"/>
        <c:axPos val="b"/>
        <c:majorGridlines>
          <c:spPr>
            <a:ln w="9525" cap="flat" cmpd="sng" algn="ctr">
              <a:solidFill>
                <a:schemeClr val="bg2">
                  <a:lumMod val="50000"/>
                </a:schemeClr>
              </a:solidFill>
              <a:prstDash val="dash"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2000" b="1">
                    <a:solidFill>
                      <a:schemeClr val="tx1"/>
                    </a:solidFill>
                  </a:rPr>
                  <a:t>Normal force (N)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out"/>
        <c:tickLblPos val="nextTo"/>
        <c:spPr>
          <a:noFill/>
          <a:ln w="222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0867952"/>
        <c:crosses val="autoZero"/>
        <c:crossBetween val="midCat"/>
      </c:valAx>
      <c:valAx>
        <c:axId val="230867952"/>
        <c:scaling>
          <c:orientation val="minMax"/>
          <c:max val="14"/>
        </c:scaling>
        <c:delete val="0"/>
        <c:axPos val="l"/>
        <c:majorGridlines>
          <c:spPr>
            <a:ln w="9525" cap="flat" cmpd="sng" algn="ctr">
              <a:solidFill>
                <a:schemeClr val="bg2">
                  <a:lumMod val="50000"/>
                </a:schemeClr>
              </a:solidFill>
              <a:prstDash val="dash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2000" b="1">
                    <a:solidFill>
                      <a:schemeClr val="tx1"/>
                    </a:solidFill>
                  </a:rPr>
                  <a:t>Static</a:t>
                </a:r>
                <a:r>
                  <a:rPr lang="en-GB" sz="2000" b="1" baseline="0">
                    <a:solidFill>
                      <a:schemeClr val="tx1"/>
                    </a:solidFill>
                  </a:rPr>
                  <a:t> f</a:t>
                </a:r>
                <a:r>
                  <a:rPr lang="en-GB" sz="2000" b="1">
                    <a:solidFill>
                      <a:schemeClr val="tx1"/>
                    </a:solidFill>
                  </a:rPr>
                  <a:t>riction</a:t>
                </a:r>
                <a:r>
                  <a:rPr lang="en-GB" sz="2000" b="1" baseline="0">
                    <a:solidFill>
                      <a:schemeClr val="tx1"/>
                    </a:solidFill>
                  </a:rPr>
                  <a:t> force (N)</a:t>
                </a:r>
                <a:endParaRPr lang="en-GB" sz="2000" b="1">
                  <a:solidFill>
                    <a:schemeClr val="tx1"/>
                  </a:solidFill>
                </a:endParaRPr>
              </a:p>
            </c:rich>
          </c:tx>
          <c:layout/>
          <c:overlay val="0"/>
          <c:spPr>
            <a:solidFill>
              <a:schemeClr val="bg1"/>
            </a:solidFill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out"/>
        <c:tickLblPos val="nextTo"/>
        <c:spPr>
          <a:noFill/>
          <a:ln w="222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99818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37323504414177"/>
          <c:y val="3.084252787145339E-2"/>
          <c:w val="0.87700345105833388"/>
          <c:h val="0.88469809879852701"/>
        </c:manualLayout>
      </c:layout>
      <c:scatterChart>
        <c:scatterStyle val="smoothMarker"/>
        <c:varyColors val="0"/>
        <c:ser>
          <c:idx val="0"/>
          <c:order val="0"/>
          <c:spPr>
            <a:ln w="2540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Sheet1!$F$41:$F$54</c:f>
              <c:numCache>
                <c:formatCode>General</c:formatCode>
                <c:ptCount val="14"/>
                <c:pt idx="0">
                  <c:v>7.7499000000000012E-2</c:v>
                </c:pt>
                <c:pt idx="1">
                  <c:v>0.81323708730423683</c:v>
                </c:pt>
                <c:pt idx="2">
                  <c:v>1.6643873705431667</c:v>
                </c:pt>
                <c:pt idx="3">
                  <c:v>3.3112484168610354</c:v>
                </c:pt>
                <c:pt idx="4">
                  <c:v>4.9036809393535554</c:v>
                </c:pt>
                <c:pt idx="5">
                  <c:v>6.5533330553149236</c:v>
                </c:pt>
                <c:pt idx="6">
                  <c:v>8.1293660443186049</c:v>
                </c:pt>
                <c:pt idx="7">
                  <c:v>12.04072092602463</c:v>
                </c:pt>
                <c:pt idx="8">
                  <c:v>18.307534654781676</c:v>
                </c:pt>
                <c:pt idx="9">
                  <c:v>24.216364711429623</c:v>
                </c:pt>
                <c:pt idx="10">
                  <c:v>30.035665944352218</c:v>
                </c:pt>
                <c:pt idx="11">
                  <c:v>36.323720259580305</c:v>
                </c:pt>
                <c:pt idx="12">
                  <c:v>42.461428023659529</c:v>
                </c:pt>
                <c:pt idx="13">
                  <c:v>48.12194351849439</c:v>
                </c:pt>
              </c:numCache>
            </c:numRef>
          </c:xVal>
          <c:yVal>
            <c:numRef>
              <c:f>Sheet1!$AA$41:$AA$54</c:f>
              <c:numCache>
                <c:formatCode>General</c:formatCode>
                <c:ptCount val="14"/>
                <c:pt idx="0">
                  <c:v>0.16426315446910619</c:v>
                </c:pt>
                <c:pt idx="1">
                  <c:v>0.60926315446910617</c:v>
                </c:pt>
                <c:pt idx="2">
                  <c:v>1.0292631544691062</c:v>
                </c:pt>
                <c:pt idx="3">
                  <c:v>1.6092631544691063</c:v>
                </c:pt>
                <c:pt idx="4">
                  <c:v>2.2442631544691061</c:v>
                </c:pt>
                <c:pt idx="5">
                  <c:v>2.7642631544691061</c:v>
                </c:pt>
                <c:pt idx="6">
                  <c:v>3.3342631544691059</c:v>
                </c:pt>
                <c:pt idx="7">
                  <c:v>4.2192631544691057</c:v>
                </c:pt>
                <c:pt idx="8">
                  <c:v>5.4392631544691064</c:v>
                </c:pt>
                <c:pt idx="9">
                  <c:v>6.664263154469106</c:v>
                </c:pt>
                <c:pt idx="10">
                  <c:v>7.9292631544691057</c:v>
                </c:pt>
                <c:pt idx="11">
                  <c:v>9.0542631544691066</c:v>
                </c:pt>
                <c:pt idx="12">
                  <c:v>10.179263154469107</c:v>
                </c:pt>
                <c:pt idx="13">
                  <c:v>11.289263154469106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88E-4FBA-A6B0-4AC1A1C2E807}"/>
            </c:ext>
          </c:extLst>
        </c:ser>
        <c:ser>
          <c:idx val="1"/>
          <c:order val="1"/>
          <c:spPr>
            <a:ln w="25400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Sheet1!$F$41:$F$54</c:f>
              <c:numCache>
                <c:formatCode>General</c:formatCode>
                <c:ptCount val="14"/>
                <c:pt idx="0">
                  <c:v>7.7499000000000012E-2</c:v>
                </c:pt>
                <c:pt idx="1">
                  <c:v>0.81323708730423683</c:v>
                </c:pt>
                <c:pt idx="2">
                  <c:v>1.6643873705431667</c:v>
                </c:pt>
                <c:pt idx="3">
                  <c:v>3.3112484168610354</c:v>
                </c:pt>
                <c:pt idx="4">
                  <c:v>4.9036809393535554</c:v>
                </c:pt>
                <c:pt idx="5">
                  <c:v>6.5533330553149236</c:v>
                </c:pt>
                <c:pt idx="6">
                  <c:v>8.1293660443186049</c:v>
                </c:pt>
                <c:pt idx="7">
                  <c:v>12.04072092602463</c:v>
                </c:pt>
                <c:pt idx="8">
                  <c:v>18.307534654781676</c:v>
                </c:pt>
                <c:pt idx="9">
                  <c:v>24.216364711429623</c:v>
                </c:pt>
                <c:pt idx="10">
                  <c:v>30.035665944352218</c:v>
                </c:pt>
                <c:pt idx="11">
                  <c:v>36.323720259580305</c:v>
                </c:pt>
                <c:pt idx="12">
                  <c:v>42.461428023659529</c:v>
                </c:pt>
                <c:pt idx="13">
                  <c:v>48.12194351849439</c:v>
                </c:pt>
              </c:numCache>
            </c:numRef>
          </c:xVal>
          <c:yVal>
            <c:numRef>
              <c:f>Sheet1!$AH$41:$AH$54</c:f>
              <c:numCache>
                <c:formatCode>General</c:formatCode>
                <c:ptCount val="14"/>
                <c:pt idx="0">
                  <c:v>7.7223238507412209E-2</c:v>
                </c:pt>
                <c:pt idx="1">
                  <c:v>0.41483263105526991</c:v>
                </c:pt>
                <c:pt idx="2">
                  <c:v>0.73031789920238555</c:v>
                </c:pt>
                <c:pt idx="3">
                  <c:v>1.3683898110809249</c:v>
                </c:pt>
                <c:pt idx="4">
                  <c:v>1.9597231877738364</c:v>
                </c:pt>
                <c:pt idx="5">
                  <c:v>2.5910857035720438</c:v>
                </c:pt>
                <c:pt idx="6">
                  <c:v>3.1734801258484202</c:v>
                </c:pt>
                <c:pt idx="7">
                  <c:v>4.1453490508035058</c:v>
                </c:pt>
                <c:pt idx="8">
                  <c:v>5.5712914770471835</c:v>
                </c:pt>
                <c:pt idx="9">
                  <c:v>6.8760819024397444</c:v>
                </c:pt>
                <c:pt idx="10">
                  <c:v>8.0542199299931863</c:v>
                </c:pt>
                <c:pt idx="11">
                  <c:v>9.2038019473444663</c:v>
                </c:pt>
                <c:pt idx="12">
                  <c:v>10.318232115089446</c:v>
                </c:pt>
                <c:pt idx="13">
                  <c:v>11.316732563236469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88E-4FBA-A6B0-4AC1A1C2E8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0872656"/>
        <c:axId val="230873048"/>
      </c:scatterChart>
      <c:valAx>
        <c:axId val="230872656"/>
        <c:scaling>
          <c:orientation val="minMax"/>
          <c:max val="50"/>
        </c:scaling>
        <c:delete val="0"/>
        <c:axPos val="b"/>
        <c:majorGridlines>
          <c:spPr>
            <a:ln w="9525" cap="flat" cmpd="sng" algn="ctr">
              <a:solidFill>
                <a:schemeClr val="bg2">
                  <a:lumMod val="50000"/>
                </a:schemeClr>
              </a:solidFill>
              <a:prstDash val="dash"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2000" b="1">
                    <a:solidFill>
                      <a:schemeClr val="tx1"/>
                    </a:solidFill>
                  </a:rPr>
                  <a:t>Normal force (N)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out"/>
        <c:tickLblPos val="nextTo"/>
        <c:spPr>
          <a:noFill/>
          <a:ln w="222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0873048"/>
        <c:crosses val="autoZero"/>
        <c:crossBetween val="midCat"/>
      </c:valAx>
      <c:valAx>
        <c:axId val="230873048"/>
        <c:scaling>
          <c:orientation val="minMax"/>
          <c:max val="15"/>
        </c:scaling>
        <c:delete val="0"/>
        <c:axPos val="l"/>
        <c:majorGridlines>
          <c:spPr>
            <a:ln w="9525" cap="flat" cmpd="sng" algn="ctr">
              <a:solidFill>
                <a:schemeClr val="bg2">
                  <a:lumMod val="50000"/>
                </a:schemeClr>
              </a:solidFill>
              <a:prstDash val="dash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2000" b="1">
                    <a:solidFill>
                      <a:schemeClr val="tx1"/>
                    </a:solidFill>
                  </a:rPr>
                  <a:t>Static</a:t>
                </a:r>
                <a:r>
                  <a:rPr lang="en-GB" sz="2000" b="1" baseline="0">
                    <a:solidFill>
                      <a:schemeClr val="tx1"/>
                    </a:solidFill>
                  </a:rPr>
                  <a:t> f</a:t>
                </a:r>
                <a:r>
                  <a:rPr lang="en-GB" sz="2000" b="1">
                    <a:solidFill>
                      <a:schemeClr val="tx1"/>
                    </a:solidFill>
                  </a:rPr>
                  <a:t>riction</a:t>
                </a:r>
                <a:r>
                  <a:rPr lang="en-GB" sz="2000" b="1" baseline="0">
                    <a:solidFill>
                      <a:schemeClr val="tx1"/>
                    </a:solidFill>
                  </a:rPr>
                  <a:t> force (N)</a:t>
                </a:r>
                <a:endParaRPr lang="en-GB" sz="2000" b="1">
                  <a:solidFill>
                    <a:schemeClr val="tx1"/>
                  </a:solidFill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out"/>
        <c:tickLblPos val="nextTo"/>
        <c:spPr>
          <a:noFill/>
          <a:ln w="222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08726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userShapes r:id="rId3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8271202744678224E-2"/>
          <c:y val="3.084252787145339E-2"/>
          <c:w val="0.87700345105833388"/>
          <c:h val="0.88469809879852701"/>
        </c:manualLayout>
      </c:layout>
      <c:scatterChart>
        <c:scatterStyle val="smoothMarker"/>
        <c:varyColors val="0"/>
        <c:ser>
          <c:idx val="0"/>
          <c:order val="0"/>
          <c:spPr>
            <a:ln w="2540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Sheet1!$F$59:$F$72</c:f>
              <c:numCache>
                <c:formatCode>General</c:formatCode>
                <c:ptCount val="14"/>
                <c:pt idx="0">
                  <c:v>7.7499000000000012E-2</c:v>
                </c:pt>
                <c:pt idx="1">
                  <c:v>0.71981139620126944</c:v>
                </c:pt>
                <c:pt idx="2">
                  <c:v>1.5971442852382687</c:v>
                </c:pt>
                <c:pt idx="3">
                  <c:v>3.226341552815716</c:v>
                </c:pt>
                <c:pt idx="4">
                  <c:v>4.809920359880028</c:v>
                </c:pt>
                <c:pt idx="5">
                  <c:v>6.5151236254582159</c:v>
                </c:pt>
                <c:pt idx="6">
                  <c:v>8.0053275574808662</c:v>
                </c:pt>
                <c:pt idx="7">
                  <c:v>12.032954015328206</c:v>
                </c:pt>
                <c:pt idx="8">
                  <c:v>18.042240253248931</c:v>
                </c:pt>
                <c:pt idx="9">
                  <c:v>24.174294235255008</c:v>
                </c:pt>
                <c:pt idx="10">
                  <c:v>30.198992669110293</c:v>
                </c:pt>
                <c:pt idx="11">
                  <c:v>36.221839386871437</c:v>
                </c:pt>
                <c:pt idx="12">
                  <c:v>42.363460513162678</c:v>
                </c:pt>
                <c:pt idx="13">
                  <c:v>48.358388203932257</c:v>
                </c:pt>
              </c:numCache>
            </c:numRef>
          </c:xVal>
          <c:yVal>
            <c:numRef>
              <c:f>Sheet1!$AA$59:$AA$72</c:f>
              <c:numCache>
                <c:formatCode>General</c:formatCode>
                <c:ptCount val="14"/>
                <c:pt idx="0">
                  <c:v>0.22165213757248578</c:v>
                </c:pt>
                <c:pt idx="1">
                  <c:v>0.67665213757248588</c:v>
                </c:pt>
                <c:pt idx="2">
                  <c:v>1.1566521375724859</c:v>
                </c:pt>
                <c:pt idx="3">
                  <c:v>1.7216521375724858</c:v>
                </c:pt>
                <c:pt idx="4">
                  <c:v>2.3416521375724857</c:v>
                </c:pt>
                <c:pt idx="5">
                  <c:v>2.9016521375724857</c:v>
                </c:pt>
                <c:pt idx="6">
                  <c:v>3.3466521375724856</c:v>
                </c:pt>
                <c:pt idx="7">
                  <c:v>4.2266521375724864</c:v>
                </c:pt>
                <c:pt idx="8">
                  <c:v>5.5466521375724858</c:v>
                </c:pt>
                <c:pt idx="9">
                  <c:v>6.7616521375724856</c:v>
                </c:pt>
                <c:pt idx="10">
                  <c:v>8.1416521375724855</c:v>
                </c:pt>
                <c:pt idx="11">
                  <c:v>9.3016521375724857</c:v>
                </c:pt>
                <c:pt idx="12">
                  <c:v>10.496652137572486</c:v>
                </c:pt>
                <c:pt idx="13">
                  <c:v>11.571652137572485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436-48C5-A87C-B0400D93E75F}"/>
            </c:ext>
          </c:extLst>
        </c:ser>
        <c:ser>
          <c:idx val="1"/>
          <c:order val="1"/>
          <c:spPr>
            <a:ln w="25400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Sheet1!$F$59:$F$72</c:f>
              <c:numCache>
                <c:formatCode>General</c:formatCode>
                <c:ptCount val="14"/>
                <c:pt idx="0">
                  <c:v>7.7499000000000012E-2</c:v>
                </c:pt>
                <c:pt idx="1">
                  <c:v>0.71981139620126944</c:v>
                </c:pt>
                <c:pt idx="2">
                  <c:v>1.5971442852382687</c:v>
                </c:pt>
                <c:pt idx="3">
                  <c:v>3.226341552815716</c:v>
                </c:pt>
                <c:pt idx="4">
                  <c:v>4.809920359880028</c:v>
                </c:pt>
                <c:pt idx="5">
                  <c:v>6.5151236254582159</c:v>
                </c:pt>
                <c:pt idx="6">
                  <c:v>8.0053275574808662</c:v>
                </c:pt>
                <c:pt idx="7">
                  <c:v>12.032954015328206</c:v>
                </c:pt>
                <c:pt idx="8">
                  <c:v>18.042240253248931</c:v>
                </c:pt>
                <c:pt idx="9">
                  <c:v>24.174294235255008</c:v>
                </c:pt>
                <c:pt idx="10">
                  <c:v>30.198992669110293</c:v>
                </c:pt>
                <c:pt idx="11">
                  <c:v>36.221839386871437</c:v>
                </c:pt>
                <c:pt idx="12">
                  <c:v>42.363460513162678</c:v>
                </c:pt>
                <c:pt idx="13">
                  <c:v>48.358388203932257</c:v>
                </c:pt>
              </c:numCache>
            </c:numRef>
          </c:xVal>
          <c:yVal>
            <c:numRef>
              <c:f>Sheet1!$AH$59:$AH$72</c:f>
              <c:numCache>
                <c:formatCode>General</c:formatCode>
                <c:ptCount val="14"/>
                <c:pt idx="0">
                  <c:v>0.10006801609013818</c:v>
                </c:pt>
                <c:pt idx="1">
                  <c:v>0.4887385121055916</c:v>
                </c:pt>
                <c:pt idx="2">
                  <c:v>0.93536618045793485</c:v>
                </c:pt>
                <c:pt idx="3">
                  <c:v>1.6104151697085576</c:v>
                </c:pt>
                <c:pt idx="4">
                  <c:v>2.2494770022906292</c:v>
                </c:pt>
                <c:pt idx="5">
                  <c:v>2.856539988959423</c:v>
                </c:pt>
                <c:pt idx="6">
                  <c:v>3.3616314646788794</c:v>
                </c:pt>
                <c:pt idx="7">
                  <c:v>4.4245334765591435</c:v>
                </c:pt>
                <c:pt idx="8">
                  <c:v>5.8017902891453454</c:v>
                </c:pt>
                <c:pt idx="9">
                  <c:v>7.0903071287343771</c:v>
                </c:pt>
                <c:pt idx="10">
                  <c:v>8.1903164483351087</c:v>
                </c:pt>
                <c:pt idx="11">
                  <c:v>9.2889338939507553</c:v>
                </c:pt>
                <c:pt idx="12">
                  <c:v>10.279244439379301</c:v>
                </c:pt>
                <c:pt idx="13">
                  <c:v>11.207667080423144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436-48C5-A87C-B0400D93E7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0866776"/>
        <c:axId val="230874224"/>
      </c:scatterChart>
      <c:valAx>
        <c:axId val="230866776"/>
        <c:scaling>
          <c:orientation val="minMax"/>
          <c:max val="50"/>
        </c:scaling>
        <c:delete val="0"/>
        <c:axPos val="b"/>
        <c:majorGridlines>
          <c:spPr>
            <a:ln w="9525" cap="flat" cmpd="sng" algn="ctr">
              <a:solidFill>
                <a:schemeClr val="bg2">
                  <a:lumMod val="50000"/>
                </a:schemeClr>
              </a:solidFill>
              <a:prstDash val="dash"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2000" b="1">
                    <a:solidFill>
                      <a:schemeClr val="tx1"/>
                    </a:solidFill>
                  </a:rPr>
                  <a:t>Normal force (N)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out"/>
        <c:tickLblPos val="nextTo"/>
        <c:spPr>
          <a:noFill/>
          <a:ln w="222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0874224"/>
        <c:crosses val="autoZero"/>
        <c:crossBetween val="midCat"/>
      </c:valAx>
      <c:valAx>
        <c:axId val="230874224"/>
        <c:scaling>
          <c:orientation val="minMax"/>
          <c:max val="15"/>
        </c:scaling>
        <c:delete val="0"/>
        <c:axPos val="l"/>
        <c:majorGridlines>
          <c:spPr>
            <a:ln w="9525" cap="flat" cmpd="sng" algn="ctr">
              <a:solidFill>
                <a:schemeClr val="bg2">
                  <a:lumMod val="50000"/>
                </a:schemeClr>
              </a:solidFill>
              <a:prstDash val="dash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2000" b="1">
                    <a:solidFill>
                      <a:schemeClr val="tx1"/>
                    </a:solidFill>
                  </a:rPr>
                  <a:t>Static</a:t>
                </a:r>
                <a:r>
                  <a:rPr lang="en-GB" sz="2000" b="1" baseline="0">
                    <a:solidFill>
                      <a:schemeClr val="tx1"/>
                    </a:solidFill>
                  </a:rPr>
                  <a:t> f</a:t>
                </a:r>
                <a:r>
                  <a:rPr lang="en-GB" sz="2000" b="1">
                    <a:solidFill>
                      <a:schemeClr val="tx1"/>
                    </a:solidFill>
                  </a:rPr>
                  <a:t>riction</a:t>
                </a:r>
                <a:r>
                  <a:rPr lang="en-GB" sz="2000" b="1" baseline="0">
                    <a:solidFill>
                      <a:schemeClr val="tx1"/>
                    </a:solidFill>
                  </a:rPr>
                  <a:t> force (N)</a:t>
                </a:r>
                <a:endParaRPr lang="en-GB" sz="2000" b="1">
                  <a:solidFill>
                    <a:schemeClr val="tx1"/>
                  </a:solidFill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out"/>
        <c:tickLblPos val="nextTo"/>
        <c:spPr>
          <a:noFill/>
          <a:ln w="222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08667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userShapes r:id="rId3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6918335271859168E-2"/>
          <c:y val="3.088112555144867E-2"/>
          <c:w val="0.87698768783433656"/>
          <c:h val="0.8844703095490456"/>
        </c:manualLayout>
      </c:layout>
      <c:scatterChart>
        <c:scatterStyle val="smoothMarker"/>
        <c:varyColors val="0"/>
        <c:ser>
          <c:idx val="0"/>
          <c:order val="0"/>
          <c:spPr>
            <a:ln w="2540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Sheet1!$F$77:$F$90</c:f>
              <c:numCache>
                <c:formatCode>General</c:formatCode>
                <c:ptCount val="14"/>
                <c:pt idx="0">
                  <c:v>7.7499000000000012E-2</c:v>
                </c:pt>
                <c:pt idx="1">
                  <c:v>0.83145967977341328</c:v>
                </c:pt>
                <c:pt idx="2">
                  <c:v>1.7327032652449299</c:v>
                </c:pt>
                <c:pt idx="3">
                  <c:v>3.2694986667777388</c:v>
                </c:pt>
                <c:pt idx="4">
                  <c:v>4.9534240249916905</c:v>
                </c:pt>
                <c:pt idx="5">
                  <c:v>6.5127309226924339</c:v>
                </c:pt>
                <c:pt idx="6">
                  <c:v>8.1024173605464682</c:v>
                </c:pt>
                <c:pt idx="7">
                  <c:v>12.093134454848336</c:v>
                </c:pt>
                <c:pt idx="8">
                  <c:v>17.99899450149956</c:v>
                </c:pt>
                <c:pt idx="9">
                  <c:v>24.426836220926159</c:v>
                </c:pt>
                <c:pt idx="10">
                  <c:v>30.134016160946612</c:v>
                </c:pt>
                <c:pt idx="11">
                  <c:v>36.73825508130669</c:v>
                </c:pt>
                <c:pt idx="12">
                  <c:v>42.529564978007869</c:v>
                </c:pt>
                <c:pt idx="13">
                  <c:v>49.154953848383755</c:v>
                </c:pt>
              </c:numCache>
            </c:numRef>
          </c:xVal>
          <c:yVal>
            <c:numRef>
              <c:f>Sheet1!$AA$77:$AA$90</c:f>
              <c:numCache>
                <c:formatCode>General</c:formatCode>
                <c:ptCount val="14"/>
                <c:pt idx="0">
                  <c:v>0.22586782653469298</c:v>
                </c:pt>
                <c:pt idx="1">
                  <c:v>0.64500000000000002</c:v>
                </c:pt>
                <c:pt idx="2">
                  <c:v>1.1000000000000001</c:v>
                </c:pt>
                <c:pt idx="3">
                  <c:v>1.73</c:v>
                </c:pt>
                <c:pt idx="4">
                  <c:v>2.33</c:v>
                </c:pt>
                <c:pt idx="5">
                  <c:v>2.81</c:v>
                </c:pt>
                <c:pt idx="6">
                  <c:v>3.2549999999999999</c:v>
                </c:pt>
                <c:pt idx="7">
                  <c:v>4.0549999999999997</c:v>
                </c:pt>
                <c:pt idx="8">
                  <c:v>5.37</c:v>
                </c:pt>
                <c:pt idx="9">
                  <c:v>6.71</c:v>
                </c:pt>
                <c:pt idx="10">
                  <c:v>7.9050000000000002</c:v>
                </c:pt>
                <c:pt idx="11">
                  <c:v>9.0850000000000009</c:v>
                </c:pt>
                <c:pt idx="12">
                  <c:v>10.35</c:v>
                </c:pt>
                <c:pt idx="13">
                  <c:v>11.69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93E-4E35-8FF9-BBC9EE31F2FA}"/>
            </c:ext>
          </c:extLst>
        </c:ser>
        <c:ser>
          <c:idx val="1"/>
          <c:order val="1"/>
          <c:spPr>
            <a:ln w="25400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Sheet1!$F$77:$F$90</c:f>
              <c:numCache>
                <c:formatCode>General</c:formatCode>
                <c:ptCount val="14"/>
                <c:pt idx="0">
                  <c:v>7.7499000000000012E-2</c:v>
                </c:pt>
                <c:pt idx="1">
                  <c:v>0.83145967977341328</c:v>
                </c:pt>
                <c:pt idx="2">
                  <c:v>1.7327032652449299</c:v>
                </c:pt>
                <c:pt idx="3">
                  <c:v>3.2694986667777388</c:v>
                </c:pt>
                <c:pt idx="4">
                  <c:v>4.9534240249916905</c:v>
                </c:pt>
                <c:pt idx="5">
                  <c:v>6.5127309226924339</c:v>
                </c:pt>
                <c:pt idx="6">
                  <c:v>8.1024173605464682</c:v>
                </c:pt>
                <c:pt idx="7">
                  <c:v>12.093134454848336</c:v>
                </c:pt>
                <c:pt idx="8">
                  <c:v>17.99899450149956</c:v>
                </c:pt>
                <c:pt idx="9">
                  <c:v>24.426836220926159</c:v>
                </c:pt>
                <c:pt idx="10">
                  <c:v>30.134016160946612</c:v>
                </c:pt>
                <c:pt idx="11">
                  <c:v>36.73825508130669</c:v>
                </c:pt>
                <c:pt idx="12">
                  <c:v>42.529564978007869</c:v>
                </c:pt>
                <c:pt idx="13">
                  <c:v>49.154953848383755</c:v>
                </c:pt>
              </c:numCache>
            </c:numRef>
          </c:xVal>
          <c:yVal>
            <c:numRef>
              <c:f>Sheet1!$AH$77:$AH$90</c:f>
              <c:numCache>
                <c:formatCode>General</c:formatCode>
                <c:ptCount val="14"/>
                <c:pt idx="0">
                  <c:v>8.3208076098433989E-2</c:v>
                </c:pt>
                <c:pt idx="1">
                  <c:v>0.47700026368328025</c:v>
                </c:pt>
                <c:pt idx="2">
                  <c:v>0.91632045979909582</c:v>
                </c:pt>
                <c:pt idx="3">
                  <c:v>1.5792335324395022</c:v>
                </c:pt>
                <c:pt idx="4">
                  <c:v>2.2283777625857328</c:v>
                </c:pt>
                <c:pt idx="5">
                  <c:v>2.7678210306370299</c:v>
                </c:pt>
                <c:pt idx="6">
                  <c:v>3.3023533686199791</c:v>
                </c:pt>
                <c:pt idx="7">
                  <c:v>4.2870828484336512</c:v>
                </c:pt>
                <c:pt idx="8">
                  <c:v>5.6129243371815898</c:v>
                </c:pt>
                <c:pt idx="9">
                  <c:v>6.9160486065720921</c:v>
                </c:pt>
                <c:pt idx="10">
                  <c:v>7.9914426098846274</c:v>
                </c:pt>
                <c:pt idx="11">
                  <c:v>9.187516179014187</c:v>
                </c:pt>
                <c:pt idx="12">
                  <c:v>10.238609350841156</c:v>
                </c:pt>
                <c:pt idx="13">
                  <c:v>11.340697313480604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93E-4E35-8FF9-BBC9EE31F2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0872264"/>
        <c:axId val="230871872"/>
      </c:scatterChart>
      <c:valAx>
        <c:axId val="230872264"/>
        <c:scaling>
          <c:orientation val="minMax"/>
          <c:max val="50"/>
        </c:scaling>
        <c:delete val="0"/>
        <c:axPos val="b"/>
        <c:majorGridlines>
          <c:spPr>
            <a:ln w="9525" cap="flat" cmpd="sng" algn="ctr">
              <a:solidFill>
                <a:schemeClr val="bg2">
                  <a:lumMod val="50000"/>
                </a:schemeClr>
              </a:solidFill>
              <a:prstDash val="dash"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2000" b="1">
                    <a:solidFill>
                      <a:schemeClr val="tx1"/>
                    </a:solidFill>
                  </a:rPr>
                  <a:t>Normal force (N)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out"/>
        <c:tickLblPos val="nextTo"/>
        <c:spPr>
          <a:noFill/>
          <a:ln w="222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0871872"/>
        <c:crosses val="autoZero"/>
        <c:crossBetween val="midCat"/>
      </c:valAx>
      <c:valAx>
        <c:axId val="230871872"/>
        <c:scaling>
          <c:orientation val="minMax"/>
          <c:max val="15"/>
        </c:scaling>
        <c:delete val="0"/>
        <c:axPos val="l"/>
        <c:majorGridlines>
          <c:spPr>
            <a:ln w="9525" cap="flat" cmpd="sng" algn="ctr">
              <a:solidFill>
                <a:schemeClr val="bg2">
                  <a:lumMod val="50000"/>
                </a:schemeClr>
              </a:solidFill>
              <a:prstDash val="dash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2000" b="1">
                    <a:solidFill>
                      <a:schemeClr val="tx1"/>
                    </a:solidFill>
                  </a:rPr>
                  <a:t>Static</a:t>
                </a:r>
                <a:r>
                  <a:rPr lang="en-GB" sz="2000" b="1" baseline="0">
                    <a:solidFill>
                      <a:schemeClr val="tx1"/>
                    </a:solidFill>
                  </a:rPr>
                  <a:t> f</a:t>
                </a:r>
                <a:r>
                  <a:rPr lang="en-GB" sz="2000" b="1">
                    <a:solidFill>
                      <a:schemeClr val="tx1"/>
                    </a:solidFill>
                  </a:rPr>
                  <a:t>riction</a:t>
                </a:r>
                <a:r>
                  <a:rPr lang="en-GB" sz="2000" b="1" baseline="0">
                    <a:solidFill>
                      <a:schemeClr val="tx1"/>
                    </a:solidFill>
                  </a:rPr>
                  <a:t> force (N)</a:t>
                </a:r>
                <a:endParaRPr lang="en-GB" sz="2000" b="1">
                  <a:solidFill>
                    <a:schemeClr val="tx1"/>
                  </a:solidFill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out"/>
        <c:tickLblPos val="nextTo"/>
        <c:spPr>
          <a:noFill/>
          <a:ln w="222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08722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userShapes r:id="rId3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6918335271859168E-2"/>
          <c:y val="3.088112555144867E-2"/>
          <c:w val="0.87698768783433656"/>
          <c:h val="0.8844703095490456"/>
        </c:manualLayout>
      </c:layout>
      <c:scatterChart>
        <c:scatterStyle val="smoothMarker"/>
        <c:varyColors val="0"/>
        <c:ser>
          <c:idx val="0"/>
          <c:order val="0"/>
          <c:spPr>
            <a:ln w="2540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Sheet1!$F$95:$F$108</c:f>
              <c:numCache>
                <c:formatCode>General</c:formatCode>
                <c:ptCount val="14"/>
                <c:pt idx="0">
                  <c:v>7.7499000000000012E-2</c:v>
                </c:pt>
                <c:pt idx="1">
                  <c:v>0.91880889670109234</c:v>
                </c:pt>
                <c:pt idx="2">
                  <c:v>1.7521607794068705</c:v>
                </c:pt>
                <c:pt idx="3">
                  <c:v>3.3500491499499927</c:v>
                </c:pt>
                <c:pt idx="4">
                  <c:v>4.9319678437187813</c:v>
                </c:pt>
                <c:pt idx="5">
                  <c:v>6.5627989000333553</c:v>
                </c:pt>
                <c:pt idx="6">
                  <c:v>8.1248018990336472</c:v>
                </c:pt>
                <c:pt idx="7">
                  <c:v>12.156356047650752</c:v>
                </c:pt>
                <c:pt idx="8">
                  <c:v>18.233004831389479</c:v>
                </c:pt>
                <c:pt idx="9">
                  <c:v>24.577171442519063</c:v>
                </c:pt>
                <c:pt idx="10">
                  <c:v>30.194504331556395</c:v>
                </c:pt>
                <c:pt idx="11">
                  <c:v>36.177198100299194</c:v>
                </c:pt>
                <c:pt idx="12">
                  <c:v>42.051104464845068</c:v>
                </c:pt>
                <c:pt idx="13">
                  <c:v>48.095544651449302</c:v>
                </c:pt>
              </c:numCache>
            </c:numRef>
          </c:xVal>
          <c:yVal>
            <c:numRef>
              <c:f>Sheet1!$AA$95:$AA$108</c:f>
              <c:numCache>
                <c:formatCode>General</c:formatCode>
                <c:ptCount val="14"/>
                <c:pt idx="0">
                  <c:v>0.1926977001599664</c:v>
                </c:pt>
                <c:pt idx="1">
                  <c:v>0.66269770015996643</c:v>
                </c:pt>
                <c:pt idx="2">
                  <c:v>1.0126977001599664</c:v>
                </c:pt>
                <c:pt idx="3">
                  <c:v>1.5826977001599665</c:v>
                </c:pt>
                <c:pt idx="4">
                  <c:v>2.0876977001599664</c:v>
                </c:pt>
                <c:pt idx="5">
                  <c:v>2.6276977001599664</c:v>
                </c:pt>
                <c:pt idx="6">
                  <c:v>3.0426977001599664</c:v>
                </c:pt>
                <c:pt idx="7">
                  <c:v>3.8426977001599667</c:v>
                </c:pt>
                <c:pt idx="8">
                  <c:v>5.0926977001599667</c:v>
                </c:pt>
                <c:pt idx="9">
                  <c:v>6.3926977001599665</c:v>
                </c:pt>
                <c:pt idx="10">
                  <c:v>7.5176977001599665</c:v>
                </c:pt>
                <c:pt idx="11">
                  <c:v>8.4976977001599661</c:v>
                </c:pt>
                <c:pt idx="12">
                  <c:v>9.7326977001599673</c:v>
                </c:pt>
                <c:pt idx="13">
                  <c:v>10.697697700159967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DAD-42F9-B7A9-00128CB32CD6}"/>
            </c:ext>
          </c:extLst>
        </c:ser>
        <c:ser>
          <c:idx val="1"/>
          <c:order val="1"/>
          <c:spPr>
            <a:ln w="25400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Sheet1!$F$95:$F$108</c:f>
              <c:numCache>
                <c:formatCode>General</c:formatCode>
                <c:ptCount val="14"/>
                <c:pt idx="0">
                  <c:v>7.7499000000000012E-2</c:v>
                </c:pt>
                <c:pt idx="1">
                  <c:v>0.91880889670109234</c:v>
                </c:pt>
                <c:pt idx="2">
                  <c:v>1.7521607794068705</c:v>
                </c:pt>
                <c:pt idx="3">
                  <c:v>3.3500491499499927</c:v>
                </c:pt>
                <c:pt idx="4">
                  <c:v>4.9319678437187813</c:v>
                </c:pt>
                <c:pt idx="5">
                  <c:v>6.5627989000333553</c:v>
                </c:pt>
                <c:pt idx="6">
                  <c:v>8.1248018990336472</c:v>
                </c:pt>
                <c:pt idx="7">
                  <c:v>12.156356047650752</c:v>
                </c:pt>
                <c:pt idx="8">
                  <c:v>18.233004831389479</c:v>
                </c:pt>
                <c:pt idx="9">
                  <c:v>24.577171442519063</c:v>
                </c:pt>
                <c:pt idx="10">
                  <c:v>30.194504331556395</c:v>
                </c:pt>
                <c:pt idx="11">
                  <c:v>36.177198100299194</c:v>
                </c:pt>
                <c:pt idx="12">
                  <c:v>42.051104464845068</c:v>
                </c:pt>
                <c:pt idx="13">
                  <c:v>48.095544651449302</c:v>
                </c:pt>
              </c:numCache>
            </c:numRef>
          </c:xVal>
          <c:yVal>
            <c:numRef>
              <c:f>Sheet1!$AH$95:$AH$108</c:f>
              <c:numCache>
                <c:formatCode>General</c:formatCode>
                <c:ptCount val="14"/>
                <c:pt idx="0">
                  <c:v>9.5046693468745808E-2</c:v>
                </c:pt>
                <c:pt idx="1">
                  <c:v>0.54113636523396424</c:v>
                </c:pt>
                <c:pt idx="2">
                  <c:v>0.91809983416109908</c:v>
                </c:pt>
                <c:pt idx="3">
                  <c:v>1.5409614963122937</c:v>
                </c:pt>
                <c:pt idx="4">
                  <c:v>2.175553969360795</c:v>
                </c:pt>
                <c:pt idx="5">
                  <c:v>2.6913613949692241</c:v>
                </c:pt>
                <c:pt idx="6">
                  <c:v>3.1719553950295851</c:v>
                </c:pt>
                <c:pt idx="7">
                  <c:v>4.1200528251725475</c:v>
                </c:pt>
                <c:pt idx="8">
                  <c:v>5.4004543310522939</c:v>
                </c:pt>
                <c:pt idx="9">
                  <c:v>6.5809265430427928</c:v>
                </c:pt>
                <c:pt idx="10">
                  <c:v>7.6366531220122162</c:v>
                </c:pt>
                <c:pt idx="11">
                  <c:v>8.6917061704311411</c:v>
                </c:pt>
                <c:pt idx="12">
                  <c:v>9.6784543313009799</c:v>
                </c:pt>
                <c:pt idx="13">
                  <c:v>10.685200256142407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DAD-42F9-B7A9-00128CB32C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0872264"/>
        <c:axId val="230871872"/>
      </c:scatterChart>
      <c:valAx>
        <c:axId val="230872264"/>
        <c:scaling>
          <c:orientation val="minMax"/>
          <c:max val="50"/>
        </c:scaling>
        <c:delete val="0"/>
        <c:axPos val="b"/>
        <c:majorGridlines>
          <c:spPr>
            <a:ln w="9525" cap="flat" cmpd="sng" algn="ctr">
              <a:solidFill>
                <a:schemeClr val="bg2">
                  <a:lumMod val="50000"/>
                </a:schemeClr>
              </a:solidFill>
              <a:prstDash val="dash"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2000" b="1">
                    <a:solidFill>
                      <a:schemeClr val="tx1"/>
                    </a:solidFill>
                  </a:rPr>
                  <a:t>Normal force (N)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out"/>
        <c:tickLblPos val="nextTo"/>
        <c:spPr>
          <a:noFill/>
          <a:ln w="222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0871872"/>
        <c:crosses val="autoZero"/>
        <c:crossBetween val="midCat"/>
      </c:valAx>
      <c:valAx>
        <c:axId val="230871872"/>
        <c:scaling>
          <c:orientation val="minMax"/>
          <c:max val="15"/>
        </c:scaling>
        <c:delete val="0"/>
        <c:axPos val="l"/>
        <c:majorGridlines>
          <c:spPr>
            <a:ln w="9525" cap="flat" cmpd="sng" algn="ctr">
              <a:solidFill>
                <a:schemeClr val="bg2">
                  <a:lumMod val="50000"/>
                </a:schemeClr>
              </a:solidFill>
              <a:prstDash val="dash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2000" b="1">
                    <a:solidFill>
                      <a:schemeClr val="tx1"/>
                    </a:solidFill>
                  </a:rPr>
                  <a:t>Static</a:t>
                </a:r>
                <a:r>
                  <a:rPr lang="en-GB" sz="2000" b="1" baseline="0">
                    <a:solidFill>
                      <a:schemeClr val="tx1"/>
                    </a:solidFill>
                  </a:rPr>
                  <a:t> f</a:t>
                </a:r>
                <a:r>
                  <a:rPr lang="en-GB" sz="2000" b="1">
                    <a:solidFill>
                      <a:schemeClr val="tx1"/>
                    </a:solidFill>
                  </a:rPr>
                  <a:t>riction</a:t>
                </a:r>
                <a:r>
                  <a:rPr lang="en-GB" sz="2000" b="1" baseline="0">
                    <a:solidFill>
                      <a:schemeClr val="tx1"/>
                    </a:solidFill>
                  </a:rPr>
                  <a:t> force (N)</a:t>
                </a:r>
                <a:endParaRPr lang="en-GB" sz="2000" b="1">
                  <a:solidFill>
                    <a:schemeClr val="tx1"/>
                  </a:solidFill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out"/>
        <c:tickLblPos val="nextTo"/>
        <c:spPr>
          <a:noFill/>
          <a:ln w="222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08722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userShapes r:id="rId3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v>T700SC-12k-60E, Test 1</c:v>
          </c:tx>
          <c:spPr>
            <a:ln w="25400" cap="rnd">
              <a:solidFill>
                <a:schemeClr val="tx1"/>
              </a:solidFill>
              <a:round/>
            </a:ln>
            <a:effectLst/>
          </c:spPr>
          <c:marker>
            <c:symbol val="triangle"/>
            <c:size val="8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Sheet1!$E$23:$E$36</c:f>
              <c:numCache>
                <c:formatCode>General</c:formatCode>
                <c:ptCount val="14"/>
                <c:pt idx="0">
                  <c:v>0</c:v>
                </c:pt>
                <c:pt idx="1">
                  <c:v>0.77311662779073331</c:v>
                </c:pt>
                <c:pt idx="2">
                  <c:v>1.5768053982006049</c:v>
                </c:pt>
                <c:pt idx="3">
                  <c:v>3.2278030656447743</c:v>
                </c:pt>
                <c:pt idx="4">
                  <c:v>4.7684981672775697</c:v>
                </c:pt>
                <c:pt idx="5">
                  <c:v>6.455430856381227</c:v>
                </c:pt>
                <c:pt idx="6">
                  <c:v>8.0185871376208109</c:v>
                </c:pt>
                <c:pt idx="7">
                  <c:v>11.984454848383862</c:v>
                </c:pt>
                <c:pt idx="8">
                  <c:v>18.458882705764761</c:v>
                </c:pt>
                <c:pt idx="9">
                  <c:v>23.931950016661162</c:v>
                </c:pt>
                <c:pt idx="10">
                  <c:v>30.216244918360758</c:v>
                </c:pt>
                <c:pt idx="11">
                  <c:v>35.940029990003183</c:v>
                </c:pt>
                <c:pt idx="12">
                  <c:v>42.03975641452783</c:v>
                </c:pt>
                <c:pt idx="13">
                  <c:v>47.939954348550245</c:v>
                </c:pt>
              </c:numCache>
            </c:numRef>
          </c:xVal>
          <c:yVal>
            <c:numRef>
              <c:f>Sheet1!$AA$23:$AA$36</c:f>
              <c:numCache>
                <c:formatCode>General</c:formatCode>
                <c:ptCount val="14"/>
                <c:pt idx="0">
                  <c:v>0.23708254159168124</c:v>
                </c:pt>
                <c:pt idx="1">
                  <c:v>0.73858254159168124</c:v>
                </c:pt>
                <c:pt idx="2">
                  <c:v>1.1550825415916812</c:v>
                </c:pt>
                <c:pt idx="3">
                  <c:v>1.7350825415916813</c:v>
                </c:pt>
                <c:pt idx="4">
                  <c:v>2.280082541591681</c:v>
                </c:pt>
                <c:pt idx="5">
                  <c:v>2.800082541591681</c:v>
                </c:pt>
                <c:pt idx="6">
                  <c:v>3.2250825415916813</c:v>
                </c:pt>
                <c:pt idx="7">
                  <c:v>4.110082541591682</c:v>
                </c:pt>
                <c:pt idx="8">
                  <c:v>5.4800825415916812</c:v>
                </c:pt>
                <c:pt idx="9">
                  <c:v>6.7250825415916813</c:v>
                </c:pt>
                <c:pt idx="10">
                  <c:v>8.0400825415916817</c:v>
                </c:pt>
                <c:pt idx="11">
                  <c:v>9.2150825415916824</c:v>
                </c:pt>
                <c:pt idx="12">
                  <c:v>10.375082541591681</c:v>
                </c:pt>
                <c:pt idx="13">
                  <c:v>11.485082541591682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E9E-4013-9397-7AC7E8D31C52}"/>
            </c:ext>
          </c:extLst>
        </c:ser>
        <c:ser>
          <c:idx val="5"/>
          <c:order val="1"/>
          <c:tx>
            <c:v>T700SC-12k-50C, Test 1</c:v>
          </c:tx>
          <c:spPr>
            <a:ln w="2540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Sheet1!$F$121:$F$134</c:f>
              <c:numCache>
                <c:formatCode>General</c:formatCode>
                <c:ptCount val="14"/>
                <c:pt idx="0">
                  <c:v>7.7499000000000012E-2</c:v>
                </c:pt>
                <c:pt idx="1">
                  <c:v>0.81244835021659045</c:v>
                </c:pt>
                <c:pt idx="2">
                  <c:v>1.5777992332555801</c:v>
                </c:pt>
                <c:pt idx="3">
                  <c:v>3.2304820056647734</c:v>
                </c:pt>
                <c:pt idx="4">
                  <c:v>4.8188178937020973</c:v>
                </c:pt>
                <c:pt idx="5">
                  <c:v>6.5586176271243319</c:v>
                </c:pt>
                <c:pt idx="6">
                  <c:v>8.0553957010996289</c:v>
                </c:pt>
                <c:pt idx="7">
                  <c:v>12.002179439853371</c:v>
                </c:pt>
                <c:pt idx="8">
                  <c:v>18.043362378873823</c:v>
                </c:pt>
                <c:pt idx="9">
                  <c:v>24.140019159946718</c:v>
                </c:pt>
                <c:pt idx="10">
                  <c:v>30.084937853715857</c:v>
                </c:pt>
                <c:pt idx="11">
                  <c:v>35.997542318893096</c:v>
                </c:pt>
                <c:pt idx="12">
                  <c:v>42.169644618126583</c:v>
                </c:pt>
                <c:pt idx="13">
                  <c:v>48.116947850383177</c:v>
                </c:pt>
              </c:numCache>
            </c:numRef>
          </c:xVal>
          <c:yVal>
            <c:numRef>
              <c:f>Sheet1!$AA$121:$AA$134</c:f>
              <c:numCache>
                <c:formatCode>General</c:formatCode>
                <c:ptCount val="14"/>
                <c:pt idx="0">
                  <c:v>9.0176453309338794E-2</c:v>
                </c:pt>
                <c:pt idx="1">
                  <c:v>0.52017645330933882</c:v>
                </c:pt>
                <c:pt idx="2">
                  <c:v>0.91017645330933883</c:v>
                </c:pt>
                <c:pt idx="3">
                  <c:v>1.9401764533093386</c:v>
                </c:pt>
                <c:pt idx="4">
                  <c:v>2.860176453309339</c:v>
                </c:pt>
                <c:pt idx="5">
                  <c:v>3.5001764533093387</c:v>
                </c:pt>
                <c:pt idx="6">
                  <c:v>4.2951764533093382</c:v>
                </c:pt>
                <c:pt idx="7">
                  <c:v>5.5301764533093385</c:v>
                </c:pt>
                <c:pt idx="8">
                  <c:v>7.6651764533093383</c:v>
                </c:pt>
                <c:pt idx="9">
                  <c:v>9.8201764533093385</c:v>
                </c:pt>
                <c:pt idx="10">
                  <c:v>11.845176453309339</c:v>
                </c:pt>
                <c:pt idx="11">
                  <c:v>13.755176453309339</c:v>
                </c:pt>
                <c:pt idx="12">
                  <c:v>15.850176453309338</c:v>
                </c:pt>
                <c:pt idx="13">
                  <c:v>17.925176453309337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E9E-4013-9397-7AC7E8D31C52}"/>
            </c:ext>
          </c:extLst>
        </c:ser>
        <c:ser>
          <c:idx val="1"/>
          <c:order val="2"/>
          <c:tx>
            <c:v>T700SC-12k-60E, Test 2</c:v>
          </c:tx>
          <c:spPr>
            <a:ln w="25400" cap="rnd">
              <a:solidFill>
                <a:schemeClr val="tx1"/>
              </a:solidFill>
              <a:round/>
            </a:ln>
            <a:effectLst/>
          </c:spPr>
          <c:marker>
            <c:symbol val="triangle"/>
            <c:size val="8"/>
            <c:spPr>
              <a:solidFill>
                <a:schemeClr val="tx1"/>
              </a:solidFill>
              <a:ln w="25400">
                <a:solidFill>
                  <a:schemeClr val="tx1"/>
                </a:solidFill>
              </a:ln>
              <a:effectLst/>
            </c:spPr>
          </c:marker>
          <c:xVal>
            <c:numRef>
              <c:f>Sheet1!$E$41:$E$54</c:f>
              <c:numCache>
                <c:formatCode>General</c:formatCode>
                <c:ptCount val="14"/>
                <c:pt idx="0">
                  <c:v>0</c:v>
                </c:pt>
                <c:pt idx="1">
                  <c:v>0.73573808730423684</c:v>
                </c:pt>
                <c:pt idx="2">
                  <c:v>1.5868883705431667</c:v>
                </c:pt>
                <c:pt idx="3">
                  <c:v>3.2337494168610355</c:v>
                </c:pt>
                <c:pt idx="4">
                  <c:v>4.826181939353555</c:v>
                </c:pt>
                <c:pt idx="5">
                  <c:v>6.4758340553149232</c:v>
                </c:pt>
                <c:pt idx="6">
                  <c:v>8.0518670443186053</c:v>
                </c:pt>
                <c:pt idx="7">
                  <c:v>11.96322192602463</c:v>
                </c:pt>
                <c:pt idx="8">
                  <c:v>18.230035654781677</c:v>
                </c:pt>
                <c:pt idx="9">
                  <c:v>24.138865711429624</c:v>
                </c:pt>
                <c:pt idx="10">
                  <c:v>29.958166944352218</c:v>
                </c:pt>
                <c:pt idx="11">
                  <c:v>36.246221259580302</c:v>
                </c:pt>
                <c:pt idx="12">
                  <c:v>42.383929023659526</c:v>
                </c:pt>
                <c:pt idx="13">
                  <c:v>48.044444518494387</c:v>
                </c:pt>
              </c:numCache>
            </c:numRef>
          </c:xVal>
          <c:yVal>
            <c:numRef>
              <c:f>Sheet1!$AA$41:$AA$54</c:f>
              <c:numCache>
                <c:formatCode>General</c:formatCode>
                <c:ptCount val="14"/>
                <c:pt idx="0">
                  <c:v>0.16426315446910619</c:v>
                </c:pt>
                <c:pt idx="1">
                  <c:v>0.60926315446910617</c:v>
                </c:pt>
                <c:pt idx="2">
                  <c:v>1.0292631544691062</c:v>
                </c:pt>
                <c:pt idx="3">
                  <c:v>1.6092631544691063</c:v>
                </c:pt>
                <c:pt idx="4">
                  <c:v>2.2442631544691061</c:v>
                </c:pt>
                <c:pt idx="5">
                  <c:v>2.7642631544691061</c:v>
                </c:pt>
                <c:pt idx="6">
                  <c:v>3.3342631544691059</c:v>
                </c:pt>
                <c:pt idx="7">
                  <c:v>4.2192631544691057</c:v>
                </c:pt>
                <c:pt idx="8">
                  <c:v>5.4392631544691064</c:v>
                </c:pt>
                <c:pt idx="9">
                  <c:v>6.664263154469106</c:v>
                </c:pt>
                <c:pt idx="10">
                  <c:v>7.9292631544691057</c:v>
                </c:pt>
                <c:pt idx="11">
                  <c:v>9.0542631544691066</c:v>
                </c:pt>
                <c:pt idx="12">
                  <c:v>10.179263154469107</c:v>
                </c:pt>
                <c:pt idx="13">
                  <c:v>11.289263154469106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E9E-4013-9397-7AC7E8D31C52}"/>
            </c:ext>
          </c:extLst>
        </c:ser>
        <c:ser>
          <c:idx val="6"/>
          <c:order val="3"/>
          <c:tx>
            <c:v>T700SC-12k-50C, Test 2</c:v>
          </c:tx>
          <c:spPr>
            <a:ln w="2540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Sheet1!$C$139:$C$152</c:f>
              <c:numCache>
                <c:formatCode>General</c:formatCode>
                <c:ptCount val="14"/>
                <c:pt idx="0">
                  <c:v>-1.9925024991669496E-2</c:v>
                </c:pt>
                <c:pt idx="1">
                  <c:v>0.78963845384871489</c:v>
                </c:pt>
                <c:pt idx="2">
                  <c:v>1.5290346551149727</c:v>
                </c:pt>
                <c:pt idx="3">
                  <c:v>3.1339380206597838</c:v>
                </c:pt>
                <c:pt idx="4">
                  <c:v>4.8016921026324404</c:v>
                </c:pt>
                <c:pt idx="5">
                  <c:v>6.4347747417527525</c:v>
                </c:pt>
                <c:pt idx="6">
                  <c:v>7.9745524825058389</c:v>
                </c:pt>
                <c:pt idx="7">
                  <c:v>12.066302232589095</c:v>
                </c:pt>
                <c:pt idx="8">
                  <c:v>18.16429656781078</c:v>
                </c:pt>
                <c:pt idx="9">
                  <c:v>24.031816394535085</c:v>
                </c:pt>
                <c:pt idx="10">
                  <c:v>30.083279240253461</c:v>
                </c:pt>
                <c:pt idx="11">
                  <c:v>36.22993302232603</c:v>
                </c:pt>
                <c:pt idx="12">
                  <c:v>41.980792402532103</c:v>
                </c:pt>
                <c:pt idx="13">
                  <c:v>48.232764411862462</c:v>
                </c:pt>
              </c:numCache>
            </c:numRef>
          </c:xVal>
          <c:yVal>
            <c:numRef>
              <c:f>Sheet1!$AA$139:$AA$152</c:f>
              <c:numCache>
                <c:formatCode>General</c:formatCode>
                <c:ptCount val="14"/>
                <c:pt idx="0">
                  <c:v>0.15119270105978727</c:v>
                </c:pt>
                <c:pt idx="1">
                  <c:v>0.59119270105978727</c:v>
                </c:pt>
                <c:pt idx="2">
                  <c:v>1.0261927010597871</c:v>
                </c:pt>
                <c:pt idx="3">
                  <c:v>1.7311927010597872</c:v>
                </c:pt>
                <c:pt idx="4">
                  <c:v>2.6461927010597872</c:v>
                </c:pt>
                <c:pt idx="5">
                  <c:v>3.5261927010597871</c:v>
                </c:pt>
                <c:pt idx="6">
                  <c:v>4.3711927010597869</c:v>
                </c:pt>
                <c:pt idx="7">
                  <c:v>5.781192701059787</c:v>
                </c:pt>
                <c:pt idx="8">
                  <c:v>7.7661927010597873</c:v>
                </c:pt>
                <c:pt idx="9">
                  <c:v>9.8961927010597872</c:v>
                </c:pt>
                <c:pt idx="10">
                  <c:v>11.801192701059788</c:v>
                </c:pt>
                <c:pt idx="11">
                  <c:v>13.656192701059789</c:v>
                </c:pt>
                <c:pt idx="12">
                  <c:v>15.811192701059788</c:v>
                </c:pt>
                <c:pt idx="13">
                  <c:v>17.336192701059787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4E9E-4013-9397-7AC7E8D31C52}"/>
            </c:ext>
          </c:extLst>
        </c:ser>
        <c:ser>
          <c:idx val="2"/>
          <c:order val="4"/>
          <c:tx>
            <c:v>T700SC-12k-60E, Test 3</c:v>
          </c:tx>
          <c:spPr>
            <a:ln w="25400" cap="rnd">
              <a:solidFill>
                <a:schemeClr val="tx1"/>
              </a:solidFill>
              <a:round/>
            </a:ln>
            <a:effectLst/>
          </c:spPr>
          <c:marker>
            <c:symbol val="triangle"/>
            <c:size val="8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Sheet1!$E$59:$E$72</c:f>
              <c:numCache>
                <c:formatCode>General</c:formatCode>
                <c:ptCount val="14"/>
                <c:pt idx="0">
                  <c:v>0</c:v>
                </c:pt>
                <c:pt idx="1">
                  <c:v>0.71981139620126944</c:v>
                </c:pt>
                <c:pt idx="2">
                  <c:v>1.5971442852382687</c:v>
                </c:pt>
                <c:pt idx="3">
                  <c:v>3.226341552815716</c:v>
                </c:pt>
                <c:pt idx="4">
                  <c:v>4.809920359880028</c:v>
                </c:pt>
                <c:pt idx="5">
                  <c:v>6.5151236254582159</c:v>
                </c:pt>
                <c:pt idx="6">
                  <c:v>8.0053275574808662</c:v>
                </c:pt>
                <c:pt idx="7">
                  <c:v>12.032954015328206</c:v>
                </c:pt>
                <c:pt idx="8">
                  <c:v>18.042240253248931</c:v>
                </c:pt>
                <c:pt idx="9">
                  <c:v>24.174294235255008</c:v>
                </c:pt>
                <c:pt idx="10">
                  <c:v>30.198992669110293</c:v>
                </c:pt>
                <c:pt idx="11">
                  <c:v>36.221839386871437</c:v>
                </c:pt>
                <c:pt idx="12">
                  <c:v>42.363460513162678</c:v>
                </c:pt>
                <c:pt idx="13">
                  <c:v>48.358388203932257</c:v>
                </c:pt>
              </c:numCache>
            </c:numRef>
          </c:xVal>
          <c:yVal>
            <c:numRef>
              <c:f>Sheet1!$AA$59:$AA$72</c:f>
              <c:numCache>
                <c:formatCode>General</c:formatCode>
                <c:ptCount val="14"/>
                <c:pt idx="0">
                  <c:v>0.22165213757248578</c:v>
                </c:pt>
                <c:pt idx="1">
                  <c:v>0.67665213757248588</c:v>
                </c:pt>
                <c:pt idx="2">
                  <c:v>1.1566521375724859</c:v>
                </c:pt>
                <c:pt idx="3">
                  <c:v>1.7216521375724858</c:v>
                </c:pt>
                <c:pt idx="4">
                  <c:v>2.3416521375724857</c:v>
                </c:pt>
                <c:pt idx="5">
                  <c:v>2.9016521375724857</c:v>
                </c:pt>
                <c:pt idx="6">
                  <c:v>3.3466521375724856</c:v>
                </c:pt>
                <c:pt idx="7">
                  <c:v>4.2266521375724864</c:v>
                </c:pt>
                <c:pt idx="8">
                  <c:v>5.5466521375724858</c:v>
                </c:pt>
                <c:pt idx="9">
                  <c:v>6.7616521375724856</c:v>
                </c:pt>
                <c:pt idx="10">
                  <c:v>8.1416521375724855</c:v>
                </c:pt>
                <c:pt idx="11">
                  <c:v>9.3016521375724857</c:v>
                </c:pt>
                <c:pt idx="12">
                  <c:v>10.496652137572486</c:v>
                </c:pt>
                <c:pt idx="13">
                  <c:v>11.571652137572485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4E9E-4013-9397-7AC7E8D31C52}"/>
            </c:ext>
          </c:extLst>
        </c:ser>
        <c:ser>
          <c:idx val="7"/>
          <c:order val="5"/>
          <c:tx>
            <c:v>T700SC-12k-50C, Test 3</c:v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Sheet1!$F$157:$F$170</c:f>
              <c:numCache>
                <c:formatCode>General</c:formatCode>
                <c:ptCount val="14"/>
                <c:pt idx="0">
                  <c:v>7.7499000000000012E-2</c:v>
                </c:pt>
                <c:pt idx="1">
                  <c:v>0.89014745051649358</c:v>
                </c:pt>
                <c:pt idx="2">
                  <c:v>1.7139845048317344</c:v>
                </c:pt>
                <c:pt idx="3">
                  <c:v>3.2898022322559086</c:v>
                </c:pt>
                <c:pt idx="4">
                  <c:v>4.8963530486504503</c:v>
                </c:pt>
                <c:pt idx="5">
                  <c:v>6.5726899363545872</c:v>
                </c:pt>
                <c:pt idx="6">
                  <c:v>8.1297062642452698</c:v>
                </c:pt>
                <c:pt idx="7">
                  <c:v>12.217090136287899</c:v>
                </c:pt>
                <c:pt idx="8">
                  <c:v>18.011010162945762</c:v>
                </c:pt>
                <c:pt idx="9">
                  <c:v>24.190453681772887</c:v>
                </c:pt>
                <c:pt idx="10">
                  <c:v>30.216145784405484</c:v>
                </c:pt>
                <c:pt idx="11">
                  <c:v>36.381587303898542</c:v>
                </c:pt>
                <c:pt idx="12">
                  <c:v>42.810431355881171</c:v>
                </c:pt>
                <c:pt idx="13">
                  <c:v>48.264662278907217</c:v>
                </c:pt>
              </c:numCache>
            </c:numRef>
          </c:xVal>
          <c:yVal>
            <c:numRef>
              <c:f>Sheet1!$AA$157:$AA$170</c:f>
              <c:numCache>
                <c:formatCode>General</c:formatCode>
                <c:ptCount val="14"/>
                <c:pt idx="0">
                  <c:v>9.2034860227953805E-2</c:v>
                </c:pt>
                <c:pt idx="1">
                  <c:v>0.62203486022795385</c:v>
                </c:pt>
                <c:pt idx="2">
                  <c:v>1.0420348602279539</c:v>
                </c:pt>
                <c:pt idx="3">
                  <c:v>1.8070348602279538</c:v>
                </c:pt>
                <c:pt idx="4">
                  <c:v>2.5620348602279539</c:v>
                </c:pt>
                <c:pt idx="5">
                  <c:v>3.3370348602279538</c:v>
                </c:pt>
                <c:pt idx="6">
                  <c:v>4.0120348602279536</c:v>
                </c:pt>
                <c:pt idx="7">
                  <c:v>5.7570348602279537</c:v>
                </c:pt>
                <c:pt idx="8">
                  <c:v>7.5170348602279535</c:v>
                </c:pt>
                <c:pt idx="9">
                  <c:v>9.6570348602279541</c:v>
                </c:pt>
                <c:pt idx="10">
                  <c:v>11.647034860227953</c:v>
                </c:pt>
                <c:pt idx="11">
                  <c:v>13.687034860227953</c:v>
                </c:pt>
                <c:pt idx="12">
                  <c:v>16.107034860227955</c:v>
                </c:pt>
                <c:pt idx="13">
                  <c:v>17.677034860227955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4E9E-4013-9397-7AC7E8D31C52}"/>
            </c:ext>
          </c:extLst>
        </c:ser>
        <c:ser>
          <c:idx val="3"/>
          <c:order val="6"/>
          <c:tx>
            <c:v>T700SC-12k-60E, Test 4</c:v>
          </c:tx>
          <c:spPr>
            <a:ln w="25400" cap="rnd">
              <a:solidFill>
                <a:schemeClr val="tx1"/>
              </a:solidFill>
              <a:round/>
            </a:ln>
            <a:effectLst/>
          </c:spPr>
          <c:marker>
            <c:symbol val="triangle"/>
            <c:size val="8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Sheet1!$E$77:$E$90</c:f>
              <c:numCache>
                <c:formatCode>General</c:formatCode>
                <c:ptCount val="14"/>
                <c:pt idx="0">
                  <c:v>0</c:v>
                </c:pt>
                <c:pt idx="1">
                  <c:v>0.7539606797734133</c:v>
                </c:pt>
                <c:pt idx="2">
                  <c:v>1.6552042652449299</c:v>
                </c:pt>
                <c:pt idx="3">
                  <c:v>3.1919996667777388</c:v>
                </c:pt>
                <c:pt idx="4">
                  <c:v>4.8759250249916901</c:v>
                </c:pt>
                <c:pt idx="5">
                  <c:v>6.4352319226924335</c:v>
                </c:pt>
                <c:pt idx="6">
                  <c:v>8.0249183605464687</c:v>
                </c:pt>
                <c:pt idx="7">
                  <c:v>12.015635454848336</c:v>
                </c:pt>
                <c:pt idx="8">
                  <c:v>17.92149550149956</c:v>
                </c:pt>
                <c:pt idx="9">
                  <c:v>24.349337220926159</c:v>
                </c:pt>
                <c:pt idx="10">
                  <c:v>30.056517160946612</c:v>
                </c:pt>
                <c:pt idx="11">
                  <c:v>36.660756081306687</c:v>
                </c:pt>
                <c:pt idx="12">
                  <c:v>42.452065978007866</c:v>
                </c:pt>
                <c:pt idx="13">
                  <c:v>49.077454848383752</c:v>
                </c:pt>
              </c:numCache>
            </c:numRef>
          </c:xVal>
          <c:yVal>
            <c:numRef>
              <c:f>Sheet1!$AA$77:$AA$90</c:f>
              <c:numCache>
                <c:formatCode>General</c:formatCode>
                <c:ptCount val="14"/>
                <c:pt idx="0">
                  <c:v>0.22586782653469298</c:v>
                </c:pt>
                <c:pt idx="1">
                  <c:v>0.64500000000000002</c:v>
                </c:pt>
                <c:pt idx="2">
                  <c:v>1.1000000000000001</c:v>
                </c:pt>
                <c:pt idx="3">
                  <c:v>1.73</c:v>
                </c:pt>
                <c:pt idx="4">
                  <c:v>2.33</c:v>
                </c:pt>
                <c:pt idx="5">
                  <c:v>2.81</c:v>
                </c:pt>
                <c:pt idx="6">
                  <c:v>3.2549999999999999</c:v>
                </c:pt>
                <c:pt idx="7">
                  <c:v>4.0549999999999997</c:v>
                </c:pt>
                <c:pt idx="8">
                  <c:v>5.37</c:v>
                </c:pt>
                <c:pt idx="9">
                  <c:v>6.71</c:v>
                </c:pt>
                <c:pt idx="10">
                  <c:v>7.9050000000000002</c:v>
                </c:pt>
                <c:pt idx="11">
                  <c:v>9.0850000000000009</c:v>
                </c:pt>
                <c:pt idx="12">
                  <c:v>10.35</c:v>
                </c:pt>
                <c:pt idx="13">
                  <c:v>11.69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4E9E-4013-9397-7AC7E8D31C52}"/>
            </c:ext>
          </c:extLst>
        </c:ser>
        <c:ser>
          <c:idx val="8"/>
          <c:order val="7"/>
          <c:tx>
            <c:v>T700SC-12k-50C, Test 4</c:v>
          </c:tx>
          <c:spPr>
            <a:ln w="2540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Sheet1!$F$175:$F$188</c:f>
              <c:numCache>
                <c:formatCode>General</c:formatCode>
                <c:ptCount val="14"/>
                <c:pt idx="0">
                  <c:v>7.7499000000000012E-2</c:v>
                </c:pt>
                <c:pt idx="1">
                  <c:v>0.90224208563811648</c:v>
                </c:pt>
                <c:pt idx="2">
                  <c:v>1.66818943652117</c:v>
                </c:pt>
                <c:pt idx="3">
                  <c:v>3.3029575138287091</c:v>
                </c:pt>
                <c:pt idx="4">
                  <c:v>4.8810254911696029</c:v>
                </c:pt>
                <c:pt idx="5">
                  <c:v>6.58552632422525</c:v>
                </c:pt>
                <c:pt idx="6">
                  <c:v>8.069423358547148</c:v>
                </c:pt>
                <c:pt idx="7">
                  <c:v>12.181226090969638</c:v>
                </c:pt>
                <c:pt idx="8">
                  <c:v>18.113471009330294</c:v>
                </c:pt>
                <c:pt idx="9">
                  <c:v>24.196070142952511</c:v>
                </c:pt>
                <c:pt idx="10">
                  <c:v>30.104917860380301</c:v>
                </c:pt>
                <c:pt idx="11">
                  <c:v>36.301607630456559</c:v>
                </c:pt>
                <c:pt idx="12">
                  <c:v>42.58827040953021</c:v>
                </c:pt>
                <c:pt idx="13">
                  <c:v>48.129406697434476</c:v>
                </c:pt>
              </c:numCache>
            </c:numRef>
          </c:xVal>
          <c:yVal>
            <c:numRef>
              <c:f>Sheet1!$AA$175:$AA$188</c:f>
              <c:numCache>
                <c:formatCode>General</c:formatCode>
                <c:ptCount val="14"/>
                <c:pt idx="0">
                  <c:v>0.12642890711857627</c:v>
                </c:pt>
                <c:pt idx="1">
                  <c:v>0.62642890711857624</c:v>
                </c:pt>
                <c:pt idx="2">
                  <c:v>1.0064289071185764</c:v>
                </c:pt>
                <c:pt idx="3">
                  <c:v>1.7364289071185763</c:v>
                </c:pt>
                <c:pt idx="4">
                  <c:v>2.4564289071185761</c:v>
                </c:pt>
                <c:pt idx="5">
                  <c:v>3.2564289071185759</c:v>
                </c:pt>
                <c:pt idx="6">
                  <c:v>3.8414289071185763</c:v>
                </c:pt>
                <c:pt idx="7">
                  <c:v>5.3614289071185768</c:v>
                </c:pt>
                <c:pt idx="8">
                  <c:v>7.1314289071185764</c:v>
                </c:pt>
                <c:pt idx="9">
                  <c:v>9.2264289071185761</c:v>
                </c:pt>
                <c:pt idx="10">
                  <c:v>11.151428907118575</c:v>
                </c:pt>
                <c:pt idx="11">
                  <c:v>13.081428907118577</c:v>
                </c:pt>
                <c:pt idx="12">
                  <c:v>15.281428907118576</c:v>
                </c:pt>
                <c:pt idx="13">
                  <c:v>16.751428907118576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4E9E-4013-9397-7AC7E8D31C52}"/>
            </c:ext>
          </c:extLst>
        </c:ser>
        <c:ser>
          <c:idx val="9"/>
          <c:order val="8"/>
          <c:tx>
            <c:v>T700SC-12k-50C, Test 5</c:v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Sheet1!$F$193:$F$206</c:f>
              <c:numCache>
                <c:formatCode>General</c:formatCode>
                <c:ptCount val="14"/>
                <c:pt idx="0">
                  <c:v>7.7499000000000012E-2</c:v>
                </c:pt>
                <c:pt idx="1">
                  <c:v>0.84203682072642227</c:v>
                </c:pt>
                <c:pt idx="2">
                  <c:v>1.6219851664469391</c:v>
                </c:pt>
                <c:pt idx="3">
                  <c:v>3.2675576471176275</c:v>
                </c:pt>
                <c:pt idx="4">
                  <c:v>4.8968388867044084</c:v>
                </c:pt>
                <c:pt idx="5">
                  <c:v>6.5571231252915929</c:v>
                </c:pt>
                <c:pt idx="6">
                  <c:v>8.0552840716428413</c:v>
                </c:pt>
                <c:pt idx="7">
                  <c:v>12.161919859713413</c:v>
                </c:pt>
                <c:pt idx="8">
                  <c:v>18.199351049316878</c:v>
                </c:pt>
                <c:pt idx="9">
                  <c:v>24.135818893369031</c:v>
                </c:pt>
                <c:pt idx="10">
                  <c:v>29.913970176274336</c:v>
                </c:pt>
                <c:pt idx="11">
                  <c:v>36.438700599467388</c:v>
                </c:pt>
                <c:pt idx="12">
                  <c:v>42.27333272209259</c:v>
                </c:pt>
                <c:pt idx="13">
                  <c:v>47.906048816728273</c:v>
                </c:pt>
              </c:numCache>
            </c:numRef>
          </c:xVal>
          <c:yVal>
            <c:numRef>
              <c:f>Sheet1!$AA$193:$AA$206</c:f>
              <c:numCache>
                <c:formatCode>General</c:formatCode>
                <c:ptCount val="14"/>
                <c:pt idx="0">
                  <c:v>0.15637268666266796</c:v>
                </c:pt>
                <c:pt idx="1">
                  <c:v>0.65137268666266801</c:v>
                </c:pt>
                <c:pt idx="2">
                  <c:v>1.1613726866626679</c:v>
                </c:pt>
                <c:pt idx="3">
                  <c:v>2.0013726866626675</c:v>
                </c:pt>
                <c:pt idx="4">
                  <c:v>2.7863726866626677</c:v>
                </c:pt>
                <c:pt idx="5">
                  <c:v>3.7463726866626677</c:v>
                </c:pt>
                <c:pt idx="6">
                  <c:v>4.5613726866626685</c:v>
                </c:pt>
                <c:pt idx="7">
                  <c:v>6.1063726866626684</c:v>
                </c:pt>
                <c:pt idx="8">
                  <c:v>8.0713726866626683</c:v>
                </c:pt>
                <c:pt idx="9">
                  <c:v>10.171372686662668</c:v>
                </c:pt>
                <c:pt idx="10">
                  <c:v>12.126372686662668</c:v>
                </c:pt>
                <c:pt idx="11">
                  <c:v>14.406372686662667</c:v>
                </c:pt>
                <c:pt idx="12">
                  <c:v>16.621372686662667</c:v>
                </c:pt>
                <c:pt idx="13">
                  <c:v>18.396372686662669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4E9E-4013-9397-7AC7E8D31C52}"/>
            </c:ext>
          </c:extLst>
        </c:ser>
        <c:ser>
          <c:idx val="4"/>
          <c:order val="9"/>
          <c:tx>
            <c:v>T700SC-12k-60E, Test 5</c:v>
          </c:tx>
          <c:spPr>
            <a:ln w="25400" cap="rnd">
              <a:solidFill>
                <a:schemeClr val="tx1"/>
              </a:solidFill>
              <a:round/>
            </a:ln>
            <a:effectLst/>
          </c:spPr>
          <c:marker>
            <c:symbol val="triangle"/>
            <c:size val="8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Sheet1!$F$95:$F$108</c:f>
              <c:numCache>
                <c:formatCode>General</c:formatCode>
                <c:ptCount val="14"/>
                <c:pt idx="0">
                  <c:v>7.7499000000000012E-2</c:v>
                </c:pt>
                <c:pt idx="1">
                  <c:v>0.91880889670109234</c:v>
                </c:pt>
                <c:pt idx="2">
                  <c:v>1.7521607794068705</c:v>
                </c:pt>
                <c:pt idx="3">
                  <c:v>3.3500491499499927</c:v>
                </c:pt>
                <c:pt idx="4">
                  <c:v>4.9319678437187813</c:v>
                </c:pt>
                <c:pt idx="5">
                  <c:v>6.5627989000333553</c:v>
                </c:pt>
                <c:pt idx="6">
                  <c:v>8.1248018990336472</c:v>
                </c:pt>
                <c:pt idx="7">
                  <c:v>12.156356047650752</c:v>
                </c:pt>
                <c:pt idx="8">
                  <c:v>18.233004831389479</c:v>
                </c:pt>
                <c:pt idx="9">
                  <c:v>24.577171442519063</c:v>
                </c:pt>
                <c:pt idx="10">
                  <c:v>30.194504331556395</c:v>
                </c:pt>
                <c:pt idx="11">
                  <c:v>36.177198100299194</c:v>
                </c:pt>
                <c:pt idx="12">
                  <c:v>42.051104464845068</c:v>
                </c:pt>
                <c:pt idx="13">
                  <c:v>48.095544651449302</c:v>
                </c:pt>
              </c:numCache>
            </c:numRef>
          </c:xVal>
          <c:yVal>
            <c:numRef>
              <c:f>Sheet1!$AA$95:$AA$108</c:f>
              <c:numCache>
                <c:formatCode>General</c:formatCode>
                <c:ptCount val="14"/>
                <c:pt idx="0">
                  <c:v>0.1926977001599664</c:v>
                </c:pt>
                <c:pt idx="1">
                  <c:v>0.66269770015996643</c:v>
                </c:pt>
                <c:pt idx="2">
                  <c:v>1.0126977001599664</c:v>
                </c:pt>
                <c:pt idx="3">
                  <c:v>1.5826977001599665</c:v>
                </c:pt>
                <c:pt idx="4">
                  <c:v>2.0876977001599664</c:v>
                </c:pt>
                <c:pt idx="5">
                  <c:v>2.6276977001599664</c:v>
                </c:pt>
                <c:pt idx="6">
                  <c:v>3.0426977001599664</c:v>
                </c:pt>
                <c:pt idx="7">
                  <c:v>3.8426977001599667</c:v>
                </c:pt>
                <c:pt idx="8">
                  <c:v>5.0926977001599667</c:v>
                </c:pt>
                <c:pt idx="9">
                  <c:v>6.3926977001599665</c:v>
                </c:pt>
                <c:pt idx="10">
                  <c:v>7.5176977001599665</c:v>
                </c:pt>
                <c:pt idx="11">
                  <c:v>8.4976977001599661</c:v>
                </c:pt>
                <c:pt idx="12">
                  <c:v>9.7326977001599673</c:v>
                </c:pt>
                <c:pt idx="13">
                  <c:v>10.697697700159967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4E9E-4013-9397-7AC7E8D31C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0871088"/>
        <c:axId val="277555744"/>
      </c:scatterChart>
      <c:valAx>
        <c:axId val="230871088"/>
        <c:scaling>
          <c:orientation val="minMax"/>
          <c:max val="50"/>
          <c:min val="0"/>
        </c:scaling>
        <c:delete val="0"/>
        <c:axPos val="b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prstDash val="dash"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3000" b="1">
                    <a:solidFill>
                      <a:sysClr val="windowText" lastClr="000000"/>
                    </a:solidFill>
                  </a:rPr>
                  <a:t>Normal Force, </a:t>
                </a:r>
                <a:r>
                  <a:rPr lang="en-GB" sz="3000" b="1" i="1">
                    <a:solidFill>
                      <a:sysClr val="windowText" lastClr="000000"/>
                    </a:solidFill>
                  </a:rPr>
                  <a:t>W </a:t>
                </a:r>
                <a:r>
                  <a:rPr lang="en-GB" sz="3000" b="1">
                    <a:solidFill>
                      <a:sysClr val="windowText" lastClr="000000"/>
                    </a:solidFill>
                  </a:rPr>
                  <a:t>(N)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out"/>
        <c:tickLblPos val="nextTo"/>
        <c:spPr>
          <a:noFill/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4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7555744"/>
        <c:crosses val="autoZero"/>
        <c:crossBetween val="midCat"/>
      </c:valAx>
      <c:valAx>
        <c:axId val="277555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prstDash val="dash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3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3000" b="1">
                    <a:solidFill>
                      <a:sysClr val="windowText" lastClr="000000"/>
                    </a:solidFill>
                  </a:rPr>
                  <a:t>Friction Force, </a:t>
                </a:r>
                <a:r>
                  <a:rPr lang="en-GB" sz="3000" b="1" i="1">
                    <a:solidFill>
                      <a:sysClr val="windowText" lastClr="000000"/>
                    </a:solidFill>
                  </a:rPr>
                  <a:t>F </a:t>
                </a:r>
                <a:r>
                  <a:rPr lang="en-GB" sz="3000" b="1">
                    <a:solidFill>
                      <a:sysClr val="windowText" lastClr="000000"/>
                    </a:solidFill>
                  </a:rPr>
                  <a:t>(N) 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3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out"/>
        <c:tickLblPos val="nextTo"/>
        <c:spPr>
          <a:noFill/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4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0871088"/>
        <c:crosses val="autoZero"/>
        <c:crossBetween val="midCat"/>
      </c:valAx>
      <c:spPr>
        <a:noFill/>
        <a:ln>
          <a:solidFill>
            <a:schemeClr val="bg1">
              <a:lumMod val="65000"/>
            </a:schemeClr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971-4817-95B5-56F96870F2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0873832"/>
        <c:axId val="277556528"/>
      </c:scatterChart>
      <c:valAx>
        <c:axId val="230873832"/>
        <c:scaling>
          <c:orientation val="minMax"/>
          <c:max val="14"/>
        </c:scaling>
        <c:delete val="0"/>
        <c:axPos val="b"/>
        <c:majorGridlines>
          <c:spPr>
            <a:ln w="9525" cap="flat" cmpd="sng" algn="ctr">
              <a:solidFill>
                <a:schemeClr val="bg2">
                  <a:lumMod val="50000"/>
                </a:schemeClr>
              </a:solidFill>
              <a:prstDash val="dash"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2000" b="1"/>
                  <a:t>Tow</a:t>
                </a:r>
                <a:r>
                  <a:rPr lang="en-GB" sz="2000" b="1" baseline="0"/>
                  <a:t> d</a:t>
                </a:r>
                <a:r>
                  <a:rPr lang="en-GB" sz="2000" b="1"/>
                  <a:t>isplacement (mm)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out"/>
        <c:tickLblPos val="nextTo"/>
        <c:spPr>
          <a:noFill/>
          <a:ln w="222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7556528"/>
        <c:crosses val="autoZero"/>
        <c:crossBetween val="midCat"/>
      </c:valAx>
      <c:valAx>
        <c:axId val="27755652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2">
                  <a:lumMod val="50000"/>
                </a:schemeClr>
              </a:solidFill>
              <a:prstDash val="dash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2000" b="1"/>
                  <a:t>Tangential</a:t>
                </a:r>
                <a:r>
                  <a:rPr lang="en-GB" sz="2000" b="1" baseline="0"/>
                  <a:t> force (N)</a:t>
                </a:r>
                <a:endParaRPr lang="en-GB" sz="2000" b="1"/>
              </a:p>
            </c:rich>
          </c:tx>
          <c:layout>
            <c:manualLayout>
              <c:xMode val="edge"/>
              <c:yMode val="edge"/>
              <c:x val="1.2289157092843454E-2"/>
              <c:y val="0.2555933840538979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out"/>
        <c:tickLblPos val="nextTo"/>
        <c:spPr>
          <a:noFill/>
          <a:ln w="222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08738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userShapes r:id="rId3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9435189049812696"/>
          <c:y val="4.1045428577585405E-2"/>
          <c:w val="0.76571178948405116"/>
          <c:h val="0.7723498077293508"/>
        </c:manualLayout>
      </c:layout>
      <c:scatterChart>
        <c:scatterStyle val="smoothMarker"/>
        <c:varyColors val="0"/>
        <c:ser>
          <c:idx val="5"/>
          <c:order val="0"/>
          <c:tx>
            <c:v>T700SC-12k-50C, Test 1</c:v>
          </c:tx>
          <c:spPr>
            <a:ln w="2540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Sheet1!$K$121:$K$134</c:f>
              <c:numCache>
                <c:formatCode>General</c:formatCode>
                <c:ptCount val="14"/>
                <c:pt idx="0">
                  <c:v>0.59401631975506286</c:v>
                </c:pt>
                <c:pt idx="1">
                  <c:v>6.2356976877164803</c:v>
                </c:pt>
                <c:pt idx="2">
                  <c:v>12.074915968539466</c:v>
                </c:pt>
                <c:pt idx="3">
                  <c:v>24.62333635805658</c:v>
                </c:pt>
                <c:pt idx="4">
                  <c:v>36.429408077818529</c:v>
                </c:pt>
                <c:pt idx="5">
                  <c:v>49.235368783822111</c:v>
                </c:pt>
                <c:pt idx="6">
                  <c:v>59.872154153372804</c:v>
                </c:pt>
                <c:pt idx="7">
                  <c:v>88.445867802989966</c:v>
                </c:pt>
                <c:pt idx="8">
                  <c:v>131.38043807556113</c:v>
                </c:pt>
                <c:pt idx="9">
                  <c:v>173.0453833196585</c:v>
                </c:pt>
                <c:pt idx="10">
                  <c:v>212.21527959317405</c:v>
                </c:pt>
                <c:pt idx="11">
                  <c:v>249.48331644107225</c:v>
                </c:pt>
                <c:pt idx="12">
                  <c:v>287.16125475017941</c:v>
                </c:pt>
                <c:pt idx="13">
                  <c:v>321.81450049798929</c:v>
                </c:pt>
              </c:numCache>
            </c:numRef>
          </c:xVal>
          <c:yVal>
            <c:numRef>
              <c:f>Sheet1!$V$121:$V$134</c:f>
              <c:numCache>
                <c:formatCode>General</c:formatCode>
                <c:ptCount val="14"/>
                <c:pt idx="0">
                  <c:v>0.49116325745377593</c:v>
                </c:pt>
                <c:pt idx="1">
                  <c:v>2.9600059531959118</c:v>
                </c:pt>
                <c:pt idx="2">
                  <c:v>5.2240883465142103</c:v>
                </c:pt>
                <c:pt idx="3">
                  <c:v>8.8595710243324604</c:v>
                </c:pt>
                <c:pt idx="4">
                  <c:v>13.01043512721021</c:v>
                </c:pt>
                <c:pt idx="5">
                  <c:v>16.444953112591623</c:v>
                </c:pt>
                <c:pt idx="6">
                  <c:v>19.469814284034989</c:v>
                </c:pt>
                <c:pt idx="7">
                  <c:v>22.632233741758771</c:v>
                </c:pt>
                <c:pt idx="8">
                  <c:v>26.322615317647013</c:v>
                </c:pt>
                <c:pt idx="9">
                  <c:v>29.740533039165857</c:v>
                </c:pt>
                <c:pt idx="10">
                  <c:v>32.580971505866216</c:v>
                </c:pt>
                <c:pt idx="11">
                  <c:v>34.759612122800277</c:v>
                </c:pt>
                <c:pt idx="12">
                  <c:v>36.549455159823943</c:v>
                </c:pt>
                <c:pt idx="13">
                  <c:v>38.331459213044596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25B-42C4-8677-0071B2FD5BE5}"/>
            </c:ext>
          </c:extLst>
        </c:ser>
        <c:ser>
          <c:idx val="6"/>
          <c:order val="1"/>
          <c:tx>
            <c:v>T700SC-12k-50C, Test 2</c:v>
          </c:tx>
          <c:spPr>
            <a:ln w="2540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Sheet1!$K$139:$K$152</c:f>
              <c:numCache>
                <c:formatCode>General</c:formatCode>
                <c:ptCount val="14"/>
                <c:pt idx="0">
                  <c:v>0.55755548692938184</c:v>
                </c:pt>
                <c:pt idx="1">
                  <c:v>6.3651823849016198</c:v>
                </c:pt>
                <c:pt idx="2">
                  <c:v>11.591618509584965</c:v>
                </c:pt>
                <c:pt idx="3">
                  <c:v>22.889285985479418</c:v>
                </c:pt>
                <c:pt idx="4">
                  <c:v>34.457060972565024</c:v>
                </c:pt>
                <c:pt idx="5">
                  <c:v>45.608376805364983</c:v>
                </c:pt>
                <c:pt idx="6">
                  <c:v>55.951740841883158</c:v>
                </c:pt>
                <c:pt idx="7">
                  <c:v>83.729821091494586</c:v>
                </c:pt>
                <c:pt idx="8">
                  <c:v>124.43573713725419</c:v>
                </c:pt>
                <c:pt idx="9">
                  <c:v>162.53199832092187</c:v>
                </c:pt>
                <c:pt idx="10">
                  <c:v>200.79359701068762</c:v>
                </c:pt>
                <c:pt idx="11">
                  <c:v>238.72273092464775</c:v>
                </c:pt>
                <c:pt idx="12">
                  <c:v>272.70905563049325</c:v>
                </c:pt>
                <c:pt idx="13">
                  <c:v>309.26607384621235</c:v>
                </c:pt>
              </c:numCache>
            </c:numRef>
          </c:xVal>
          <c:yVal>
            <c:numRef>
              <c:f>Sheet1!$V$139:$V$152</c:f>
              <c:numCache>
                <c:formatCode>General</c:formatCode>
                <c:ptCount val="14"/>
                <c:pt idx="0">
                  <c:v>0.20566946368786049</c:v>
                </c:pt>
                <c:pt idx="1">
                  <c:v>0.91188072031741929</c:v>
                </c:pt>
                <c:pt idx="2">
                  <c:v>2.8642806317563281</c:v>
                </c:pt>
                <c:pt idx="3">
                  <c:v>5.8374977420366649</c:v>
                </c:pt>
                <c:pt idx="4">
                  <c:v>9.5763349798320423</c:v>
                </c:pt>
                <c:pt idx="5">
                  <c:v>13.069665717435083</c:v>
                </c:pt>
                <c:pt idx="6">
                  <c:v>15.941516809131894</c:v>
                </c:pt>
                <c:pt idx="7">
                  <c:v>18.873999705845485</c:v>
                </c:pt>
                <c:pt idx="8">
                  <c:v>22.613336546947753</c:v>
                </c:pt>
                <c:pt idx="9">
                  <c:v>25.860034471267433</c:v>
                </c:pt>
                <c:pt idx="10">
                  <c:v>28.724386972881149</c:v>
                </c:pt>
                <c:pt idx="11">
                  <c:v>31.393639856735888</c:v>
                </c:pt>
                <c:pt idx="12">
                  <c:v>33.830863318001406</c:v>
                </c:pt>
                <c:pt idx="13">
                  <c:v>35.358049055478467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25B-42C4-8677-0071B2FD5BE5}"/>
            </c:ext>
          </c:extLst>
        </c:ser>
        <c:ser>
          <c:idx val="7"/>
          <c:order val="2"/>
          <c:tx>
            <c:v>T700SC-12k-50C, Test 3</c:v>
          </c:tx>
          <c:spPr>
            <a:ln w="2540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Sheet1!$K$157:$K$170</c:f>
              <c:numCache>
                <c:formatCode>General</c:formatCode>
                <c:ptCount val="14"/>
                <c:pt idx="0">
                  <c:v>0.58321581069548822</c:v>
                </c:pt>
                <c:pt idx="1">
                  <c:v>6.6785387453160192</c:v>
                </c:pt>
                <c:pt idx="2">
                  <c:v>12.801536981300712</c:v>
                </c:pt>
                <c:pt idx="3">
                  <c:v>24.428774015844823</c:v>
                </c:pt>
                <c:pt idx="4">
                  <c:v>36.102055782358121</c:v>
                </c:pt>
                <c:pt idx="5">
                  <c:v>48.265015090263162</c:v>
                </c:pt>
                <c:pt idx="6">
                  <c:v>59.229935761759343</c:v>
                </c:pt>
                <c:pt idx="7">
                  <c:v>88.572111563555211</c:v>
                </c:pt>
                <c:pt idx="8">
                  <c:v>129.52850717200153</c:v>
                </c:pt>
                <c:pt idx="9">
                  <c:v>171.9319355752265</c:v>
                </c:pt>
                <c:pt idx="10">
                  <c:v>212.27379917338584</c:v>
                </c:pt>
                <c:pt idx="11">
                  <c:v>251.9268467924945</c:v>
                </c:pt>
                <c:pt idx="12">
                  <c:v>292.07605912710954</c:v>
                </c:pt>
                <c:pt idx="13">
                  <c:v>324.26629176684179</c:v>
                </c:pt>
              </c:numCache>
            </c:numRef>
          </c:xVal>
          <c:yVal>
            <c:numRef>
              <c:f>Sheet1!$V$157:$V$170</c:f>
              <c:numCache>
                <c:formatCode>General</c:formatCode>
                <c:ptCount val="14"/>
                <c:pt idx="0">
                  <c:v>0.45031490316592021</c:v>
                </c:pt>
                <c:pt idx="1">
                  <c:v>1.7000097963139589</c:v>
                </c:pt>
                <c:pt idx="2">
                  <c:v>3.2774752784686121</c:v>
                </c:pt>
                <c:pt idx="3">
                  <c:v>5.5355404512598865</c:v>
                </c:pt>
                <c:pt idx="4">
                  <c:v>8.6987455922134043</c:v>
                </c:pt>
                <c:pt idx="5">
                  <c:v>11.505028254288534</c:v>
                </c:pt>
                <c:pt idx="6">
                  <c:v>14.681927931814819</c:v>
                </c:pt>
                <c:pt idx="7">
                  <c:v>17.920336915345999</c:v>
                </c:pt>
                <c:pt idx="8">
                  <c:v>21.647258420279048</c:v>
                </c:pt>
                <c:pt idx="9">
                  <c:v>25.014652448527318</c:v>
                </c:pt>
                <c:pt idx="10">
                  <c:v>28.602590337870222</c:v>
                </c:pt>
                <c:pt idx="11">
                  <c:v>31.762457181008706</c:v>
                </c:pt>
                <c:pt idx="12">
                  <c:v>34.066690325164068</c:v>
                </c:pt>
                <c:pt idx="13">
                  <c:v>35.859797626768177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25B-42C4-8677-0071B2FD5BE5}"/>
            </c:ext>
          </c:extLst>
        </c:ser>
        <c:ser>
          <c:idx val="8"/>
          <c:order val="3"/>
          <c:tx>
            <c:v>T700SC-12k-50C, Test 4</c:v>
          </c:tx>
          <c:spPr>
            <a:ln w="2540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Sheet1!$K$175:$K$188</c:f>
              <c:numCache>
                <c:formatCode>General</c:formatCode>
                <c:ptCount val="14"/>
                <c:pt idx="0">
                  <c:v>0.63594982537310485</c:v>
                </c:pt>
                <c:pt idx="1">
                  <c:v>7.4055070709515274</c:v>
                </c:pt>
                <c:pt idx="2">
                  <c:v>13.61537772482651</c:v>
                </c:pt>
                <c:pt idx="3">
                  <c:v>26.804802964948873</c:v>
                </c:pt>
                <c:pt idx="4">
                  <c:v>39.408038731009668</c:v>
                </c:pt>
                <c:pt idx="5">
                  <c:v>52.632988169715233</c:v>
                </c:pt>
                <c:pt idx="6">
                  <c:v>63.774292093672315</c:v>
                </c:pt>
                <c:pt idx="7">
                  <c:v>95.101310397874698</c:v>
                </c:pt>
                <c:pt idx="8">
                  <c:v>139.28589678020984</c:v>
                </c:pt>
                <c:pt idx="9">
                  <c:v>183.31427238089583</c:v>
                </c:pt>
                <c:pt idx="10">
                  <c:v>224.59689939333532</c:v>
                </c:pt>
                <c:pt idx="11">
                  <c:v>267.01664867355652</c:v>
                </c:pt>
                <c:pt idx="12">
                  <c:v>308.39020084215315</c:v>
                </c:pt>
                <c:pt idx="13">
                  <c:v>343.46199542200463</c:v>
                </c:pt>
              </c:numCache>
            </c:numRef>
          </c:xVal>
          <c:yVal>
            <c:numRef>
              <c:f>Sheet1!$V$175:$V$188</c:f>
              <c:numCache>
                <c:formatCode>General</c:formatCode>
                <c:ptCount val="14"/>
                <c:pt idx="0">
                  <c:v>0.43809233873898284</c:v>
                </c:pt>
                <c:pt idx="1">
                  <c:v>2.9623070716563658</c:v>
                </c:pt>
                <c:pt idx="2">
                  <c:v>5.4121892999171539</c:v>
                </c:pt>
                <c:pt idx="3">
                  <c:v>8.995216596057876</c:v>
                </c:pt>
                <c:pt idx="4">
                  <c:v>11.859834683301301</c:v>
                </c:pt>
                <c:pt idx="5">
                  <c:v>14.402259372643659</c:v>
                </c:pt>
                <c:pt idx="6">
                  <c:v>16.136443642113747</c:v>
                </c:pt>
                <c:pt idx="7">
                  <c:v>18.771681829214643</c:v>
                </c:pt>
                <c:pt idx="8">
                  <c:v>22.39790013429441</c:v>
                </c:pt>
                <c:pt idx="9">
                  <c:v>26.238501067478477</c:v>
                </c:pt>
                <c:pt idx="10">
                  <c:v>29.755978726857478</c:v>
                </c:pt>
                <c:pt idx="11">
                  <c:v>32.743915193890494</c:v>
                </c:pt>
                <c:pt idx="12">
                  <c:v>35.596518188479514</c:v>
                </c:pt>
                <c:pt idx="13">
                  <c:v>37.625841374135575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125B-42C4-8677-0071B2FD5BE5}"/>
            </c:ext>
          </c:extLst>
        </c:ser>
        <c:ser>
          <c:idx val="9"/>
          <c:order val="4"/>
          <c:tx>
            <c:v>T700SC-12k-50C, Test 5</c:v>
          </c:tx>
          <c:spPr>
            <a:ln w="2540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Sheet1!$K$193:$K$206</c:f>
              <c:numCache>
                <c:formatCode>General</c:formatCode>
                <c:ptCount val="14"/>
                <c:pt idx="0">
                  <c:v>0.60591667678169658</c:v>
                </c:pt>
                <c:pt idx="1">
                  <c:v>6.570200552855253</c:v>
                </c:pt>
                <c:pt idx="2">
                  <c:v>12.650525008974693</c:v>
                </c:pt>
                <c:pt idx="3">
                  <c:v>25.430561953885906</c:v>
                </c:pt>
                <c:pt idx="4">
                  <c:v>37.819889202726017</c:v>
                </c:pt>
                <c:pt idx="5">
                  <c:v>50.097512402218037</c:v>
                </c:pt>
                <c:pt idx="6">
                  <c:v>60.964053831463922</c:v>
                </c:pt>
                <c:pt idx="7">
                  <c:v>91.122450699941197</c:v>
                </c:pt>
                <c:pt idx="8">
                  <c:v>135.07926577583078</c:v>
                </c:pt>
                <c:pt idx="9">
                  <c:v>177.11991683585862</c:v>
                </c:pt>
                <c:pt idx="10">
                  <c:v>216.72785229015173</c:v>
                </c:pt>
                <c:pt idx="11">
                  <c:v>260.204342311</c:v>
                </c:pt>
                <c:pt idx="12">
                  <c:v>298.47466702411555</c:v>
                </c:pt>
                <c:pt idx="13">
                  <c:v>334.14285657449534</c:v>
                </c:pt>
              </c:numCache>
            </c:numRef>
          </c:xVal>
          <c:yVal>
            <c:numRef>
              <c:f>Sheet1!$V$193:$V$206</c:f>
              <c:numCache>
                <c:formatCode>General</c:formatCode>
                <c:ptCount val="14"/>
                <c:pt idx="0">
                  <c:v>0.26235188240037682</c:v>
                </c:pt>
                <c:pt idx="1">
                  <c:v>1.068710811053295</c:v>
                </c:pt>
                <c:pt idx="2">
                  <c:v>3.102886083651641</c:v>
                </c:pt>
                <c:pt idx="3">
                  <c:v>5.8156148232923002</c:v>
                </c:pt>
                <c:pt idx="4">
                  <c:v>8.8618768885517056</c:v>
                </c:pt>
                <c:pt idx="5">
                  <c:v>11.770802740601681</c:v>
                </c:pt>
                <c:pt idx="6">
                  <c:v>13.758486376446996</c:v>
                </c:pt>
                <c:pt idx="7">
                  <c:v>16.25085953284605</c:v>
                </c:pt>
                <c:pt idx="8">
                  <c:v>19.619374606771704</c:v>
                </c:pt>
                <c:pt idx="9">
                  <c:v>22.996170053333021</c:v>
                </c:pt>
                <c:pt idx="10">
                  <c:v>25.774863460777642</c:v>
                </c:pt>
                <c:pt idx="11">
                  <c:v>29.155864280299483</c:v>
                </c:pt>
                <c:pt idx="12">
                  <c:v>31.299690823326575</c:v>
                </c:pt>
                <c:pt idx="13">
                  <c:v>33.91992227988159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125B-42C4-8677-0071B2FD5BE5}"/>
            </c:ext>
          </c:extLst>
        </c:ser>
        <c:ser>
          <c:idx val="0"/>
          <c:order val="5"/>
          <c:tx>
            <c:v>T700SC-12k-60E, Test 1</c:v>
          </c:tx>
          <c:spPr>
            <a:ln w="25400" cap="rnd">
              <a:solidFill>
                <a:schemeClr val="tx1"/>
              </a:solidFill>
              <a:round/>
            </a:ln>
            <a:effectLst/>
          </c:spPr>
          <c:marker>
            <c:symbol val="triangle"/>
            <c:size val="8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Sheet1!$K$23:$K$36</c:f>
              <c:numCache>
                <c:formatCode>General</c:formatCode>
                <c:ptCount val="14"/>
                <c:pt idx="0">
                  <c:v>0.4628493643279184</c:v>
                </c:pt>
                <c:pt idx="1">
                  <c:v>5.0801546163219413</c:v>
                </c:pt>
                <c:pt idx="2">
                  <c:v>9.8488240966656573</c:v>
                </c:pt>
                <c:pt idx="3">
                  <c:v>19.588307208711075</c:v>
                </c:pt>
                <c:pt idx="4">
                  <c:v>28.576388434354985</c:v>
                </c:pt>
                <c:pt idx="5">
                  <c:v>38.383229975733947</c:v>
                </c:pt>
                <c:pt idx="6">
                  <c:v>47.455075100232456</c:v>
                </c:pt>
                <c:pt idx="7">
                  <c:v>70.308652776451126</c:v>
                </c:pt>
                <c:pt idx="8">
                  <c:v>107.34640730228219</c:v>
                </c:pt>
                <c:pt idx="9">
                  <c:v>137.97753829096681</c:v>
                </c:pt>
                <c:pt idx="10">
                  <c:v>171.97586316103556</c:v>
                </c:pt>
                <c:pt idx="11">
                  <c:v>202.30401431392465</c:v>
                </c:pt>
                <c:pt idx="12">
                  <c:v>234.37245968920024</c:v>
                </c:pt>
                <c:pt idx="13">
                  <c:v>264.72508113624326</c:v>
                </c:pt>
              </c:numCache>
            </c:numRef>
          </c:xVal>
          <c:yVal>
            <c:numRef>
              <c:f>Sheet1!$V$23:$V$36</c:f>
              <c:numCache>
                <c:formatCode>General</c:formatCode>
                <c:ptCount val="14"/>
                <c:pt idx="0">
                  <c:v>1.7710686360588934</c:v>
                </c:pt>
                <c:pt idx="1">
                  <c:v>4.251594277636066</c:v>
                </c:pt>
                <c:pt idx="2">
                  <c:v>5.9256878956466306</c:v>
                </c:pt>
                <c:pt idx="3">
                  <c:v>8.1254847906684979</c:v>
                </c:pt>
                <c:pt idx="4">
                  <c:v>10.565590823000443</c:v>
                </c:pt>
                <c:pt idx="5">
                  <c:v>13.089114023761288</c:v>
                </c:pt>
                <c:pt idx="6">
                  <c:v>15.322470052570166</c:v>
                </c:pt>
                <c:pt idx="7">
                  <c:v>17.642776348178678</c:v>
                </c:pt>
                <c:pt idx="8">
                  <c:v>21.363020505845881</c:v>
                </c:pt>
                <c:pt idx="9">
                  <c:v>24.120450140351885</c:v>
                </c:pt>
                <c:pt idx="10">
                  <c:v>26.731536255356154</c:v>
                </c:pt>
                <c:pt idx="11">
                  <c:v>28.642412113795206</c:v>
                </c:pt>
                <c:pt idx="12">
                  <c:v>30.579937296553911</c:v>
                </c:pt>
                <c:pt idx="13">
                  <c:v>32.160180378089599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125B-42C4-8677-0071B2FD5BE5}"/>
            </c:ext>
          </c:extLst>
        </c:ser>
        <c:ser>
          <c:idx val="1"/>
          <c:order val="6"/>
          <c:tx>
            <c:v>T700SC-12k-60E, Test 2</c:v>
          </c:tx>
          <c:spPr>
            <a:ln w="25400" cap="rnd">
              <a:solidFill>
                <a:schemeClr val="tx1"/>
              </a:solidFill>
              <a:round/>
            </a:ln>
            <a:effectLst/>
          </c:spPr>
          <c:marker>
            <c:symbol val="triangle"/>
            <c:size val="8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Sheet1!$K$41:$K$54</c:f>
              <c:numCache>
                <c:formatCode>General</c:formatCode>
                <c:ptCount val="14"/>
                <c:pt idx="0">
                  <c:v>0.44560552534981929</c:v>
                </c:pt>
                <c:pt idx="1">
                  <c:v>4.6750499118969016</c:v>
                </c:pt>
                <c:pt idx="2">
                  <c:v>9.5901268338651864</c:v>
                </c:pt>
                <c:pt idx="3">
                  <c:v>19.083289438304309</c:v>
                </c:pt>
                <c:pt idx="4">
                  <c:v>27.98362982024701</c:v>
                </c:pt>
                <c:pt idx="5">
                  <c:v>37.672581973093465</c:v>
                </c:pt>
                <c:pt idx="6">
                  <c:v>46.590419545308833</c:v>
                </c:pt>
                <c:pt idx="7">
                  <c:v>68.790405718543553</c:v>
                </c:pt>
                <c:pt idx="8">
                  <c:v>104.19057693715669</c:v>
                </c:pt>
                <c:pt idx="9">
                  <c:v>137.16128370928922</c:v>
                </c:pt>
                <c:pt idx="10">
                  <c:v>169.05270499776324</c:v>
                </c:pt>
                <c:pt idx="11">
                  <c:v>203.72543383383302</c:v>
                </c:pt>
                <c:pt idx="12">
                  <c:v>237.18170482670754</c:v>
                </c:pt>
                <c:pt idx="13">
                  <c:v>267.81436805287501</c:v>
                </c:pt>
              </c:numCache>
            </c:numRef>
          </c:xVal>
          <c:yVal>
            <c:numRef>
              <c:f>Sheet1!$V$41:$V$54</c:f>
              <c:numCache>
                <c:formatCode>General</c:formatCode>
                <c:ptCount val="14"/>
                <c:pt idx="0">
                  <c:v>0.99116355044054916</c:v>
                </c:pt>
                <c:pt idx="1">
                  <c:v>2.725138961065539</c:v>
                </c:pt>
                <c:pt idx="2">
                  <c:v>4.1364744735110826</c:v>
                </c:pt>
                <c:pt idx="3">
                  <c:v>7.3009656480554543</c:v>
                </c:pt>
                <c:pt idx="4">
                  <c:v>10.012442419203364</c:v>
                </c:pt>
                <c:pt idx="5">
                  <c:v>13.193359407058262</c:v>
                </c:pt>
                <c:pt idx="6">
                  <c:v>15.905442651546256</c:v>
                </c:pt>
                <c:pt idx="7">
                  <c:v>18.265687855129833</c:v>
                </c:pt>
                <c:pt idx="8">
                  <c:v>21.615804567749198</c:v>
                </c:pt>
                <c:pt idx="9">
                  <c:v>24.773459446960256</c:v>
                </c:pt>
                <c:pt idx="10">
                  <c:v>27.232373407958576</c:v>
                </c:pt>
                <c:pt idx="11">
                  <c:v>29.301514444108662</c:v>
                </c:pt>
                <c:pt idx="12">
                  <c:v>31.375706429469492</c:v>
                </c:pt>
                <c:pt idx="13">
                  <c:v>33.180321652895366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125B-42C4-8677-0071B2FD5BE5}"/>
            </c:ext>
          </c:extLst>
        </c:ser>
        <c:ser>
          <c:idx val="2"/>
          <c:order val="7"/>
          <c:tx>
            <c:v>T700SC-12k-60E, Test 3</c:v>
          </c:tx>
          <c:spPr>
            <a:ln w="25400" cap="rnd">
              <a:solidFill>
                <a:schemeClr val="tx1"/>
              </a:solidFill>
              <a:round/>
            </a:ln>
            <a:effectLst/>
          </c:spPr>
          <c:marker>
            <c:symbol val="triangle"/>
            <c:size val="8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Sheet1!$K$59:$K$72</c:f>
              <c:numCache>
                <c:formatCode>General</c:formatCode>
                <c:ptCount val="14"/>
                <c:pt idx="0">
                  <c:v>0.44462312468813231</c:v>
                </c:pt>
                <c:pt idx="1">
                  <c:v>4.1188487416446504</c:v>
                </c:pt>
                <c:pt idx="2">
                  <c:v>9.133320263085448</c:v>
                </c:pt>
                <c:pt idx="3">
                  <c:v>18.426812130256607</c:v>
                </c:pt>
                <c:pt idx="4">
                  <c:v>27.439607532268621</c:v>
                </c:pt>
                <c:pt idx="5">
                  <c:v>36.867682265507021</c:v>
                </c:pt>
                <c:pt idx="6">
                  <c:v>45.642590562766316</c:v>
                </c:pt>
                <c:pt idx="7">
                  <c:v>68.303213189888496</c:v>
                </c:pt>
                <c:pt idx="8">
                  <c:v>101.9796964827389</c:v>
                </c:pt>
                <c:pt idx="9">
                  <c:v>136.12043045861682</c:v>
                </c:pt>
                <c:pt idx="10">
                  <c:v>168.91905979765139</c:v>
                </c:pt>
                <c:pt idx="11">
                  <c:v>200.64385785459868</c:v>
                </c:pt>
                <c:pt idx="12">
                  <c:v>232.4286224765805</c:v>
                </c:pt>
                <c:pt idx="13">
                  <c:v>263.78971126614084</c:v>
                </c:pt>
              </c:numCache>
            </c:numRef>
          </c:xVal>
          <c:yVal>
            <c:numRef>
              <c:f>Sheet1!$V$59:$V$72</c:f>
              <c:numCache>
                <c:formatCode>General</c:formatCode>
                <c:ptCount val="14"/>
                <c:pt idx="0">
                  <c:v>1.4710366143214189</c:v>
                </c:pt>
                <c:pt idx="1">
                  <c:v>3.7681187919908612</c:v>
                </c:pt>
                <c:pt idx="2">
                  <c:v>6.2163686769570097</c:v>
                </c:pt>
                <c:pt idx="3">
                  <c:v>9.1104176027271659</c:v>
                </c:pt>
                <c:pt idx="4">
                  <c:v>11.909630651303448</c:v>
                </c:pt>
                <c:pt idx="5">
                  <c:v>14.064172498551974</c:v>
                </c:pt>
                <c:pt idx="6">
                  <c:v>15.971486045207714</c:v>
                </c:pt>
                <c:pt idx="7">
                  <c:v>18.325871853776889</c:v>
                </c:pt>
                <c:pt idx="8">
                  <c:v>20.926177237025662</c:v>
                </c:pt>
                <c:pt idx="9">
                  <c:v>23.236935677790186</c:v>
                </c:pt>
                <c:pt idx="10">
                  <c:v>24.656314434646536</c:v>
                </c:pt>
                <c:pt idx="11">
                  <c:v>26.184824464517153</c:v>
                </c:pt>
                <c:pt idx="12">
                  <c:v>27.155774398709951</c:v>
                </c:pt>
                <c:pt idx="13">
                  <c:v>28.117565514410988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125B-42C4-8677-0071B2FD5BE5}"/>
            </c:ext>
          </c:extLst>
        </c:ser>
        <c:ser>
          <c:idx val="3"/>
          <c:order val="8"/>
          <c:tx>
            <c:v>T700SC-12k-60E, Test4</c:v>
          </c:tx>
          <c:spPr>
            <a:ln w="25400" cap="rnd">
              <a:solidFill>
                <a:schemeClr val="tx1"/>
              </a:solidFill>
              <a:round/>
            </a:ln>
            <a:effectLst/>
          </c:spPr>
          <c:marker>
            <c:symbol val="triangle"/>
            <c:size val="8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Sheet1!$K$77:$K$90</c:f>
              <c:numCache>
                <c:formatCode>General</c:formatCode>
                <c:ptCount val="14"/>
                <c:pt idx="0">
                  <c:v>0.47135167386361543</c:v>
                </c:pt>
                <c:pt idx="1">
                  <c:v>5.0295271744401333</c:v>
                </c:pt>
                <c:pt idx="2">
                  <c:v>10.41086794293699</c:v>
                </c:pt>
                <c:pt idx="3">
                  <c:v>19.539319298590677</c:v>
                </c:pt>
                <c:pt idx="4">
                  <c:v>29.358801874562854</c:v>
                </c:pt>
                <c:pt idx="5">
                  <c:v>38.27689225983422</c:v>
                </c:pt>
                <c:pt idx="6">
                  <c:v>47.324585047331453</c:v>
                </c:pt>
                <c:pt idx="7">
                  <c:v>70.10153584072664</c:v>
                </c:pt>
                <c:pt idx="8">
                  <c:v>103.5674029943559</c:v>
                </c:pt>
                <c:pt idx="9">
                  <c:v>139.45211126857433</c:v>
                </c:pt>
                <c:pt idx="10">
                  <c:v>170.66113405404849</c:v>
                </c:pt>
                <c:pt idx="11">
                  <c:v>206.71371867273919</c:v>
                </c:pt>
                <c:pt idx="12">
                  <c:v>237.44103156430813</c:v>
                </c:pt>
                <c:pt idx="13">
                  <c:v>273.03506826929458</c:v>
                </c:pt>
              </c:numCache>
            </c:numRef>
          </c:xVal>
          <c:yVal>
            <c:numRef>
              <c:f>Sheet1!$V$77:$V$90</c:f>
              <c:numCache>
                <c:formatCode>General</c:formatCode>
                <c:ptCount val="14"/>
                <c:pt idx="0">
                  <c:v>1.2970338720861412</c:v>
                </c:pt>
                <c:pt idx="1">
                  <c:v>3.9513864861521126</c:v>
                </c:pt>
                <c:pt idx="2">
                  <c:v>6.9502562641524896</c:v>
                </c:pt>
                <c:pt idx="3">
                  <c:v>10.881964756039427</c:v>
                </c:pt>
                <c:pt idx="4">
                  <c:v>14.183141897985196</c:v>
                </c:pt>
                <c:pt idx="5">
                  <c:v>16.502658364571925</c:v>
                </c:pt>
                <c:pt idx="6">
                  <c:v>18.766020262474647</c:v>
                </c:pt>
                <c:pt idx="7">
                  <c:v>21.03008476110946</c:v>
                </c:pt>
                <c:pt idx="8">
                  <c:v>24.042104133960805</c:v>
                </c:pt>
                <c:pt idx="9">
                  <c:v>26.685431325634152</c:v>
                </c:pt>
                <c:pt idx="10">
                  <c:v>28.650912861247274</c:v>
                </c:pt>
                <c:pt idx="11">
                  <c:v>30.860004387657714</c:v>
                </c:pt>
                <c:pt idx="12">
                  <c:v>32.849089458833156</c:v>
                </c:pt>
                <c:pt idx="13">
                  <c:v>34.692121935724771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125B-42C4-8677-0071B2FD5BE5}"/>
            </c:ext>
          </c:extLst>
        </c:ser>
        <c:ser>
          <c:idx val="4"/>
          <c:order val="9"/>
          <c:tx>
            <c:v>T700SC-12k-60E, Test 5</c:v>
          </c:tx>
          <c:spPr>
            <a:ln w="25400" cap="rnd">
              <a:solidFill>
                <a:schemeClr val="tx1"/>
              </a:solidFill>
              <a:round/>
            </a:ln>
            <a:effectLst/>
          </c:spPr>
          <c:marker>
            <c:symbol val="triangle"/>
            <c:size val="8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Sheet1!$K$95:$K$108</c:f>
              <c:numCache>
                <c:formatCode>General</c:formatCode>
                <c:ptCount val="14"/>
                <c:pt idx="0">
                  <c:v>0.44120067624127202</c:v>
                </c:pt>
                <c:pt idx="1">
                  <c:v>5.2636027112681774</c:v>
                </c:pt>
                <c:pt idx="2">
                  <c:v>9.9345273199627577</c:v>
                </c:pt>
                <c:pt idx="3">
                  <c:v>18.832126771239142</c:v>
                </c:pt>
                <c:pt idx="4">
                  <c:v>27.60267224218974</c:v>
                </c:pt>
                <c:pt idx="5">
                  <c:v>36.568834422025141</c:v>
                </c:pt>
                <c:pt idx="6">
                  <c:v>45.047427567874564</c:v>
                </c:pt>
                <c:pt idx="7">
                  <c:v>67.086946947074551</c:v>
                </c:pt>
                <c:pt idx="8">
                  <c:v>99.715476711766286</c:v>
                </c:pt>
                <c:pt idx="9">
                  <c:v>132.68151808537138</c:v>
                </c:pt>
                <c:pt idx="10">
                  <c:v>162.05026783912265</c:v>
                </c:pt>
                <c:pt idx="11">
                  <c:v>192.96453308846876</c:v>
                </c:pt>
                <c:pt idx="12">
                  <c:v>223.09717710483611</c:v>
                </c:pt>
                <c:pt idx="13">
                  <c:v>253.24714051147129</c:v>
                </c:pt>
              </c:numCache>
            </c:numRef>
          </c:xVal>
          <c:yVal>
            <c:numRef>
              <c:f>Sheet1!$V$95:$V$108</c:f>
              <c:numCache>
                <c:formatCode>General</c:formatCode>
                <c:ptCount val="14"/>
                <c:pt idx="0">
                  <c:v>1.691478090242863</c:v>
                </c:pt>
                <c:pt idx="1">
                  <c:v>4.6536587917871453</c:v>
                </c:pt>
                <c:pt idx="2">
                  <c:v>6.9522838500980457</c:v>
                </c:pt>
                <c:pt idx="3">
                  <c:v>10.15614667932579</c:v>
                </c:pt>
                <c:pt idx="4">
                  <c:v>13.6898521338818</c:v>
                </c:pt>
                <c:pt idx="5">
                  <c:v>15.675642146429263</c:v>
                </c:pt>
                <c:pt idx="6">
                  <c:v>17.50035892154996</c:v>
                </c:pt>
                <c:pt idx="7">
                  <c:v>19.64197491743106</c:v>
                </c:pt>
                <c:pt idx="8">
                  <c:v>22.297442363345532</c:v>
                </c:pt>
                <c:pt idx="9">
                  <c:v>24.247618972814184</c:v>
                </c:pt>
                <c:pt idx="10">
                  <c:v>26.420951314687841</c:v>
                </c:pt>
                <c:pt idx="11">
                  <c:v>28.390045466722103</c:v>
                </c:pt>
                <c:pt idx="12">
                  <c:v>30.123099068321924</c:v>
                </c:pt>
                <c:pt idx="13">
                  <c:v>31.860205029950407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125B-42C4-8677-0071B2FD5B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7557312"/>
        <c:axId val="277557704"/>
      </c:scatterChart>
      <c:valAx>
        <c:axId val="2775573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bg1">
                  <a:lumMod val="50000"/>
                </a:schemeClr>
              </a:solidFill>
              <a:prstDash val="dash"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3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3000" b="1">
                    <a:solidFill>
                      <a:sysClr val="windowText" lastClr="000000"/>
                    </a:solidFill>
                  </a:rPr>
                  <a:t>Tow Nominal Pressure, </a:t>
                </a:r>
                <a:r>
                  <a:rPr lang="en-GB" sz="3000" b="1" i="1">
                    <a:solidFill>
                      <a:sysClr val="windowText" lastClr="000000"/>
                    </a:solidFill>
                  </a:rPr>
                  <a:t>p</a:t>
                </a:r>
                <a:r>
                  <a:rPr lang="en-GB" sz="3000" b="1">
                    <a:solidFill>
                      <a:sysClr val="windowText" lastClr="000000"/>
                    </a:solidFill>
                  </a:rPr>
                  <a:t> (kPa)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3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out"/>
        <c:tickLblPos val="nextTo"/>
        <c:spPr>
          <a:noFill/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4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7557704"/>
        <c:crosses val="autoZero"/>
        <c:crossBetween val="midCat"/>
      </c:valAx>
      <c:valAx>
        <c:axId val="277557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prstDash val="dash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3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3000" b="1">
                    <a:solidFill>
                      <a:sysClr val="windowText" lastClr="000000"/>
                    </a:solidFill>
                  </a:rPr>
                  <a:t>Filament</a:t>
                </a:r>
                <a:r>
                  <a:rPr lang="en-GB" sz="3000" b="1" baseline="0">
                    <a:solidFill>
                      <a:sysClr val="windowText" lastClr="000000"/>
                    </a:solidFill>
                  </a:rPr>
                  <a:t> Contact Length</a:t>
                </a:r>
              </a:p>
              <a:p>
                <a:pPr>
                  <a:defRPr sz="3000" b="1">
                    <a:solidFill>
                      <a:sysClr val="windowText" lastClr="000000"/>
                    </a:solidFill>
                  </a:defRPr>
                </a:pPr>
                <a:r>
                  <a:rPr lang="en-GB" sz="3000" b="1" baseline="0">
                    <a:solidFill>
                      <a:sysClr val="windowText" lastClr="000000"/>
                    </a:solidFill>
                  </a:rPr>
                  <a:t>(% of idealised, </a:t>
                </a:r>
                <a:r>
                  <a:rPr lang="en-GB" sz="3000" b="1" i="1" baseline="0">
                    <a:solidFill>
                      <a:sysClr val="windowText" lastClr="000000"/>
                    </a:solidFill>
                  </a:rPr>
                  <a:t>L</a:t>
                </a:r>
                <a:r>
                  <a:rPr lang="en-GB" sz="3000" b="1" baseline="0">
                    <a:solidFill>
                      <a:sysClr val="windowText" lastClr="000000"/>
                    </a:solidFill>
                  </a:rPr>
                  <a:t>/</a:t>
                </a:r>
                <a:r>
                  <a:rPr lang="en-GB" sz="3000" b="1" i="1" baseline="0">
                    <a:solidFill>
                      <a:sysClr val="windowText" lastClr="000000"/>
                    </a:solidFill>
                  </a:rPr>
                  <a:t>L</a:t>
                </a:r>
                <a:r>
                  <a:rPr lang="en-GB" sz="3000" b="1" baseline="-25000">
                    <a:solidFill>
                      <a:sysClr val="windowText" lastClr="000000"/>
                    </a:solidFill>
                  </a:rPr>
                  <a:t>max</a:t>
                </a:r>
                <a:r>
                  <a:rPr lang="en-GB" sz="3000" b="1" baseline="0">
                    <a:solidFill>
                      <a:sysClr val="windowText" lastClr="000000"/>
                    </a:solidFill>
                  </a:rPr>
                  <a:t>×100)</a:t>
                </a:r>
                <a:endParaRPr lang="en-GB" sz="3000" b="1">
                  <a:solidFill>
                    <a:sysClr val="windowText" lastClr="000000"/>
                  </a:solidFill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3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out"/>
        <c:tickLblPos val="nextTo"/>
        <c:spPr>
          <a:noFill/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4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7557312"/>
        <c:crosses val="autoZero"/>
        <c:crossBetween val="midCat"/>
      </c:valAx>
      <c:spPr>
        <a:noFill/>
        <a:ln>
          <a:solidFill>
            <a:schemeClr val="bg1">
              <a:lumMod val="50000"/>
            </a:schemeClr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148161647465262"/>
          <c:y val="8.7903801673610851E-2"/>
          <c:w val="0.83480856976789941"/>
          <c:h val="0.74873597490192367"/>
        </c:manualLayout>
      </c:layout>
      <c:scatterChart>
        <c:scatterStyle val="smoothMarker"/>
        <c:varyColors val="0"/>
        <c:ser>
          <c:idx val="5"/>
          <c:order val="0"/>
          <c:tx>
            <c:v>T700SC-12k-50C, Test 1</c:v>
          </c:tx>
          <c:spPr>
            <a:ln w="2540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Sheet1!$K$121:$K$134</c:f>
              <c:numCache>
                <c:formatCode>General</c:formatCode>
                <c:ptCount val="14"/>
                <c:pt idx="0">
                  <c:v>0.59401631975506286</c:v>
                </c:pt>
                <c:pt idx="1">
                  <c:v>6.2356976877164803</c:v>
                </c:pt>
                <c:pt idx="2">
                  <c:v>12.074915968539466</c:v>
                </c:pt>
                <c:pt idx="3">
                  <c:v>24.62333635805658</c:v>
                </c:pt>
                <c:pt idx="4">
                  <c:v>36.429408077818529</c:v>
                </c:pt>
                <c:pt idx="5">
                  <c:v>49.235368783822111</c:v>
                </c:pt>
                <c:pt idx="6">
                  <c:v>59.872154153372804</c:v>
                </c:pt>
                <c:pt idx="7">
                  <c:v>88.445867802989966</c:v>
                </c:pt>
                <c:pt idx="8">
                  <c:v>131.38043807556113</c:v>
                </c:pt>
                <c:pt idx="9">
                  <c:v>173.0453833196585</c:v>
                </c:pt>
                <c:pt idx="10">
                  <c:v>212.21527959317405</c:v>
                </c:pt>
                <c:pt idx="11">
                  <c:v>249.48331644107225</c:v>
                </c:pt>
                <c:pt idx="12">
                  <c:v>287.16125475017941</c:v>
                </c:pt>
                <c:pt idx="13">
                  <c:v>321.81450049798929</c:v>
                </c:pt>
              </c:numCache>
            </c:numRef>
          </c:xVal>
          <c:yVal>
            <c:numRef>
              <c:f>Sheet1!$AD$121:$AD$134</c:f>
              <c:numCache>
                <c:formatCode>General</c:formatCode>
                <c:ptCount val="14"/>
                <c:pt idx="0">
                  <c:v>1.1635821534386093</c:v>
                </c:pt>
                <c:pt idx="1">
                  <c:v>0.64025787383365984</c:v>
                </c:pt>
                <c:pt idx="2">
                  <c:v>0.57686455546775117</c:v>
                </c:pt>
                <c:pt idx="3">
                  <c:v>0.60058420071901508</c:v>
                </c:pt>
                <c:pt idx="4">
                  <c:v>0.59354317104354914</c:v>
                </c:pt>
                <c:pt idx="5">
                  <c:v>0.53367594397236018</c:v>
                </c:pt>
                <c:pt idx="6">
                  <c:v>0.53320489926062986</c:v>
                </c:pt>
                <c:pt idx="7">
                  <c:v>0.4607643537594785</c:v>
                </c:pt>
                <c:pt idx="8">
                  <c:v>0.42481973660763778</c:v>
                </c:pt>
                <c:pt idx="9">
                  <c:v>0.40680069010065417</c:v>
                </c:pt>
                <c:pt idx="10">
                  <c:v>0.39372447803964183</c:v>
                </c:pt>
                <c:pt idx="11">
                  <c:v>0.38211432134604412</c:v>
                </c:pt>
                <c:pt idx="12">
                  <c:v>0.37586696774049061</c:v>
                </c:pt>
                <c:pt idx="13">
                  <c:v>0.37253353036952014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8EC-4A1E-88E6-3589E3AA28A6}"/>
            </c:ext>
          </c:extLst>
        </c:ser>
        <c:ser>
          <c:idx val="6"/>
          <c:order val="1"/>
          <c:tx>
            <c:v>T700SC-12k-50C, Test 2</c:v>
          </c:tx>
          <c:spPr>
            <a:ln w="2540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Sheet1!$K$139:$K$152</c:f>
              <c:numCache>
                <c:formatCode>General</c:formatCode>
                <c:ptCount val="14"/>
                <c:pt idx="0">
                  <c:v>0.55755548692938184</c:v>
                </c:pt>
                <c:pt idx="1">
                  <c:v>6.3651823849016198</c:v>
                </c:pt>
                <c:pt idx="2">
                  <c:v>11.591618509584965</c:v>
                </c:pt>
                <c:pt idx="3">
                  <c:v>22.889285985479418</c:v>
                </c:pt>
                <c:pt idx="4">
                  <c:v>34.457060972565024</c:v>
                </c:pt>
                <c:pt idx="5">
                  <c:v>45.608376805364983</c:v>
                </c:pt>
                <c:pt idx="6">
                  <c:v>55.951740841883158</c:v>
                </c:pt>
                <c:pt idx="7">
                  <c:v>83.729821091494586</c:v>
                </c:pt>
                <c:pt idx="8">
                  <c:v>124.43573713725419</c:v>
                </c:pt>
                <c:pt idx="9">
                  <c:v>162.53199832092187</c:v>
                </c:pt>
                <c:pt idx="10">
                  <c:v>200.79359701068762</c:v>
                </c:pt>
                <c:pt idx="11">
                  <c:v>238.72273092464775</c:v>
                </c:pt>
                <c:pt idx="12">
                  <c:v>272.70905563049325</c:v>
                </c:pt>
                <c:pt idx="13">
                  <c:v>309.26607384621235</c:v>
                </c:pt>
              </c:numCache>
            </c:numRef>
          </c:xVal>
          <c:yVal>
            <c:numRef>
              <c:f>Sheet1!$AD$139:$AD$152</c:f>
              <c:numCache>
                <c:formatCode>General</c:formatCode>
                <c:ptCount val="14"/>
                <c:pt idx="0">
                  <c:v>1.9508987349486735</c:v>
                </c:pt>
                <c:pt idx="1">
                  <c:v>0.66646117400053495</c:v>
                </c:pt>
                <c:pt idx="2">
                  <c:v>0.63093684064110533</c:v>
                </c:pt>
                <c:pt idx="3">
                  <c:v>0.5357470554528263</c:v>
                </c:pt>
                <c:pt idx="4">
                  <c:v>0.54013675775901482</c:v>
                </c:pt>
                <c:pt idx="5">
                  <c:v>0.53981711625367512</c:v>
                </c:pt>
                <c:pt idx="6">
                  <c:v>0.5415269354413611</c:v>
                </c:pt>
                <c:pt idx="7">
                  <c:v>0.47528138817303545</c:v>
                </c:pt>
                <c:pt idx="8">
                  <c:v>0.42527168574250901</c:v>
                </c:pt>
                <c:pt idx="9">
                  <c:v>0.41013279029916028</c:v>
                </c:pt>
                <c:pt idx="10">
                  <c:v>0.39101781682634157</c:v>
                </c:pt>
                <c:pt idx="11">
                  <c:v>0.37592034794251894</c:v>
                </c:pt>
                <c:pt idx="12">
                  <c:v>0.37575719798611834</c:v>
                </c:pt>
                <c:pt idx="13">
                  <c:v>0.35870318866458401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8EC-4A1E-88E6-3589E3AA28A6}"/>
            </c:ext>
          </c:extLst>
        </c:ser>
        <c:ser>
          <c:idx val="7"/>
          <c:order val="2"/>
          <c:tx>
            <c:v>T700SC-12k-50C, Test 3</c:v>
          </c:tx>
          <c:spPr>
            <a:ln w="2540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Sheet1!$K$157:$K$170</c:f>
              <c:numCache>
                <c:formatCode>General</c:formatCode>
                <c:ptCount val="14"/>
                <c:pt idx="0">
                  <c:v>0.58321581069548822</c:v>
                </c:pt>
                <c:pt idx="1">
                  <c:v>6.6785387453160192</c:v>
                </c:pt>
                <c:pt idx="2">
                  <c:v>12.801536981300712</c:v>
                </c:pt>
                <c:pt idx="3">
                  <c:v>24.428774015844823</c:v>
                </c:pt>
                <c:pt idx="4">
                  <c:v>36.102055782358121</c:v>
                </c:pt>
                <c:pt idx="5">
                  <c:v>48.265015090263162</c:v>
                </c:pt>
                <c:pt idx="6">
                  <c:v>59.229935761759343</c:v>
                </c:pt>
                <c:pt idx="7">
                  <c:v>88.572111563555211</c:v>
                </c:pt>
                <c:pt idx="8">
                  <c:v>129.52850717200153</c:v>
                </c:pt>
                <c:pt idx="9">
                  <c:v>171.9319355752265</c:v>
                </c:pt>
                <c:pt idx="10">
                  <c:v>212.27379917338584</c:v>
                </c:pt>
                <c:pt idx="11">
                  <c:v>251.9268467924945</c:v>
                </c:pt>
                <c:pt idx="12">
                  <c:v>292.07605912710954</c:v>
                </c:pt>
                <c:pt idx="13">
                  <c:v>324.26629176684179</c:v>
                </c:pt>
              </c:numCache>
            </c:numRef>
          </c:xVal>
          <c:yVal>
            <c:numRef>
              <c:f>Sheet1!$AD$157:$AD$170</c:f>
              <c:numCache>
                <c:formatCode>General</c:formatCode>
                <c:ptCount val="14"/>
                <c:pt idx="0">
                  <c:v>1.1875619069659453</c:v>
                </c:pt>
                <c:pt idx="1">
                  <c:v>0.6987997998163431</c:v>
                </c:pt>
                <c:pt idx="2">
                  <c:v>0.60796049047727696</c:v>
                </c:pt>
                <c:pt idx="3">
                  <c:v>0.5492837358155781</c:v>
                </c:pt>
                <c:pt idx="4">
                  <c:v>0.52325370224970003</c:v>
                </c:pt>
                <c:pt idx="5">
                  <c:v>0.50771219889291996</c:v>
                </c:pt>
                <c:pt idx="6">
                  <c:v>0.49350305285604501</c:v>
                </c:pt>
                <c:pt idx="7">
                  <c:v>0.47122799259113918</c:v>
                </c:pt>
                <c:pt idx="8">
                  <c:v>0.41735776018231485</c:v>
                </c:pt>
                <c:pt idx="9">
                  <c:v>0.39920850544049008</c:v>
                </c:pt>
                <c:pt idx="10">
                  <c:v>0.385457329446662</c:v>
                </c:pt>
                <c:pt idx="11">
                  <c:v>0.37620774338125956</c:v>
                </c:pt>
                <c:pt idx="12">
                  <c:v>0.37624089153250773</c:v>
                </c:pt>
                <c:pt idx="13">
                  <c:v>0.36625211957513754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8EC-4A1E-88E6-3589E3AA28A6}"/>
            </c:ext>
          </c:extLst>
        </c:ser>
        <c:ser>
          <c:idx val="8"/>
          <c:order val="3"/>
          <c:tx>
            <c:v>T700SC-12k-50C, Test 4</c:v>
          </c:tx>
          <c:spPr>
            <a:ln w="2540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Sheet1!$K$175:$K$188</c:f>
              <c:numCache>
                <c:formatCode>General</c:formatCode>
                <c:ptCount val="14"/>
                <c:pt idx="0">
                  <c:v>0.63594982537310485</c:v>
                </c:pt>
                <c:pt idx="1">
                  <c:v>7.4055070709515274</c:v>
                </c:pt>
                <c:pt idx="2">
                  <c:v>13.61537772482651</c:v>
                </c:pt>
                <c:pt idx="3">
                  <c:v>26.804802964948873</c:v>
                </c:pt>
                <c:pt idx="4">
                  <c:v>39.408038731009668</c:v>
                </c:pt>
                <c:pt idx="5">
                  <c:v>52.632988169715233</c:v>
                </c:pt>
                <c:pt idx="6">
                  <c:v>63.774292093672315</c:v>
                </c:pt>
                <c:pt idx="7">
                  <c:v>95.101310397874698</c:v>
                </c:pt>
                <c:pt idx="8">
                  <c:v>139.28589678020984</c:v>
                </c:pt>
                <c:pt idx="9">
                  <c:v>183.31427238089583</c:v>
                </c:pt>
                <c:pt idx="10">
                  <c:v>224.59689939333532</c:v>
                </c:pt>
                <c:pt idx="11">
                  <c:v>267.01664867355652</c:v>
                </c:pt>
                <c:pt idx="12">
                  <c:v>308.39020084215315</c:v>
                </c:pt>
                <c:pt idx="13">
                  <c:v>343.46199542200463</c:v>
                </c:pt>
              </c:numCache>
            </c:numRef>
          </c:xVal>
          <c:yVal>
            <c:numRef>
              <c:f>Sheet1!$AD$175:$AD$188</c:f>
              <c:numCache>
                <c:formatCode>General</c:formatCode>
                <c:ptCount val="14"/>
                <c:pt idx="0">
                  <c:v>1.6313617868433947</c:v>
                </c:pt>
                <c:pt idx="1">
                  <c:v>0.69430246836194787</c:v>
                </c:pt>
                <c:pt idx="2">
                  <c:v>0.60330612644171622</c:v>
                </c:pt>
                <c:pt idx="3">
                  <c:v>0.5257194195954854</c:v>
                </c:pt>
                <c:pt idx="4">
                  <c:v>0.50326082327629085</c:v>
                </c:pt>
                <c:pt idx="5">
                  <c:v>0.49448271053744158</c:v>
                </c:pt>
                <c:pt idx="6">
                  <c:v>0.4760475112573847</c:v>
                </c:pt>
                <c:pt idx="7">
                  <c:v>0.44013869105452269</c:v>
                </c:pt>
                <c:pt idx="8">
                  <c:v>0.39370857763512912</c:v>
                </c:pt>
                <c:pt idx="9">
                  <c:v>0.38131931559993099</c:v>
                </c:pt>
                <c:pt idx="10">
                  <c:v>0.37041884514803669</c:v>
                </c:pt>
                <c:pt idx="11">
                  <c:v>0.3603539832253444</c:v>
                </c:pt>
                <c:pt idx="12">
                  <c:v>0.35881778621606025</c:v>
                </c:pt>
                <c:pt idx="13">
                  <c:v>0.34804976949802097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F8EC-4A1E-88E6-3589E3AA28A6}"/>
            </c:ext>
          </c:extLst>
        </c:ser>
        <c:ser>
          <c:idx val="9"/>
          <c:order val="4"/>
          <c:tx>
            <c:v>T700SC-12k-50C, Test 5</c:v>
          </c:tx>
          <c:spPr>
            <a:ln w="2540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Sheet1!$K$193:$K$206</c:f>
              <c:numCache>
                <c:formatCode>General</c:formatCode>
                <c:ptCount val="14"/>
                <c:pt idx="0">
                  <c:v>0.60591667678169658</c:v>
                </c:pt>
                <c:pt idx="1">
                  <c:v>6.570200552855253</c:v>
                </c:pt>
                <c:pt idx="2">
                  <c:v>12.650525008974693</c:v>
                </c:pt>
                <c:pt idx="3">
                  <c:v>25.430561953885906</c:v>
                </c:pt>
                <c:pt idx="4">
                  <c:v>37.819889202726017</c:v>
                </c:pt>
                <c:pt idx="5">
                  <c:v>50.097512402218037</c:v>
                </c:pt>
                <c:pt idx="6">
                  <c:v>60.964053831463922</c:v>
                </c:pt>
                <c:pt idx="7">
                  <c:v>91.122450699941197</c:v>
                </c:pt>
                <c:pt idx="8">
                  <c:v>135.07926577583078</c:v>
                </c:pt>
                <c:pt idx="9">
                  <c:v>177.11991683585862</c:v>
                </c:pt>
                <c:pt idx="10">
                  <c:v>216.72785229015173</c:v>
                </c:pt>
                <c:pt idx="11">
                  <c:v>260.204342311</c:v>
                </c:pt>
                <c:pt idx="12">
                  <c:v>298.47466702411555</c:v>
                </c:pt>
                <c:pt idx="13">
                  <c:v>334.14285657449534</c:v>
                </c:pt>
              </c:numCache>
            </c:numRef>
          </c:xVal>
          <c:yVal>
            <c:numRef>
              <c:f>Sheet1!$AD$193:$AD$206</c:f>
              <c:numCache>
                <c:formatCode>General</c:formatCode>
                <c:ptCount val="14"/>
                <c:pt idx="0">
                  <c:v>2.0177381213005061</c:v>
                </c:pt>
                <c:pt idx="1">
                  <c:v>0.77356793744569396</c:v>
                </c:pt>
                <c:pt idx="2">
                  <c:v>0.71601930195621211</c:v>
                </c:pt>
                <c:pt idx="3">
                  <c:v>0.61249804985938505</c:v>
                </c:pt>
                <c:pt idx="4">
                  <c:v>0.56901457269261058</c:v>
                </c:pt>
                <c:pt idx="5">
                  <c:v>0.57134395909274127</c:v>
                </c:pt>
                <c:pt idx="6">
                  <c:v>0.56625845173110023</c:v>
                </c:pt>
                <c:pt idx="7">
                  <c:v>0.50208953496644415</c:v>
                </c:pt>
                <c:pt idx="8">
                  <c:v>0.44349782938912163</c:v>
                </c:pt>
                <c:pt idx="9">
                  <c:v>0.42142231558826893</c:v>
                </c:pt>
                <c:pt idx="10">
                  <c:v>0.40537490059679393</c:v>
                </c:pt>
                <c:pt idx="11">
                  <c:v>0.39535912229738623</c:v>
                </c:pt>
                <c:pt idx="12">
                  <c:v>0.39318813105965794</c:v>
                </c:pt>
                <c:pt idx="13">
                  <c:v>0.38400939215506447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F8EC-4A1E-88E6-3589E3AA28A6}"/>
            </c:ext>
          </c:extLst>
        </c:ser>
        <c:ser>
          <c:idx val="0"/>
          <c:order val="5"/>
          <c:tx>
            <c:v>T700SC-12k-60E, Test 1</c:v>
          </c:tx>
          <c:spPr>
            <a:ln w="25400" cap="rnd">
              <a:solidFill>
                <a:schemeClr val="tx1"/>
              </a:solidFill>
              <a:round/>
            </a:ln>
            <a:effectLst/>
          </c:spPr>
          <c:marker>
            <c:symbol val="triangle"/>
            <c:size val="8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Sheet1!$K$23:$K$36</c:f>
              <c:numCache>
                <c:formatCode>General</c:formatCode>
                <c:ptCount val="14"/>
                <c:pt idx="0">
                  <c:v>0.4628493643279184</c:v>
                </c:pt>
                <c:pt idx="1">
                  <c:v>5.0801546163219413</c:v>
                </c:pt>
                <c:pt idx="2">
                  <c:v>9.8488240966656573</c:v>
                </c:pt>
                <c:pt idx="3">
                  <c:v>19.588307208711075</c:v>
                </c:pt>
                <c:pt idx="4">
                  <c:v>28.576388434354985</c:v>
                </c:pt>
                <c:pt idx="5">
                  <c:v>38.383229975733947</c:v>
                </c:pt>
                <c:pt idx="6">
                  <c:v>47.455075100232456</c:v>
                </c:pt>
                <c:pt idx="7">
                  <c:v>70.308652776451126</c:v>
                </c:pt>
                <c:pt idx="8">
                  <c:v>107.34640730228219</c:v>
                </c:pt>
                <c:pt idx="9">
                  <c:v>137.97753829096681</c:v>
                </c:pt>
                <c:pt idx="10">
                  <c:v>171.97586316103556</c:v>
                </c:pt>
                <c:pt idx="11">
                  <c:v>202.30401431392465</c:v>
                </c:pt>
                <c:pt idx="12">
                  <c:v>234.37245968920024</c:v>
                </c:pt>
                <c:pt idx="13">
                  <c:v>264.72508113624326</c:v>
                </c:pt>
              </c:numCache>
            </c:numRef>
          </c:xVal>
          <c:yVal>
            <c:numRef>
              <c:f>Sheet1!$AD$23:$AD$36</c:f>
              <c:numCache>
                <c:formatCode>General</c:formatCode>
                <c:ptCount val="14"/>
                <c:pt idx="0">
                  <c:v>3.0591690420738487</c:v>
                </c:pt>
                <c:pt idx="1">
                  <c:v>0.86829176123882101</c:v>
                </c:pt>
                <c:pt idx="2">
                  <c:v>0.69822853813848906</c:v>
                </c:pt>
                <c:pt idx="3">
                  <c:v>0.52493917564330506</c:v>
                </c:pt>
                <c:pt idx="4">
                  <c:v>0.47050843467013564</c:v>
                </c:pt>
                <c:pt idx="5">
                  <c:v>0.42861053205042754</c:v>
                </c:pt>
                <c:pt idx="6">
                  <c:v>0.3983508187499884</c:v>
                </c:pt>
                <c:pt idx="7">
                  <c:v>0.34074765939702029</c:v>
                </c:pt>
                <c:pt idx="8">
                  <c:v>0.29563928001587231</c:v>
                </c:pt>
                <c:pt idx="9">
                  <c:v>0.28010149407947116</c:v>
                </c:pt>
                <c:pt idx="10">
                  <c:v>0.26540405713004861</c:v>
                </c:pt>
                <c:pt idx="11">
                  <c:v>0.25584993751651774</c:v>
                </c:pt>
                <c:pt idx="12">
                  <c:v>0.24633804932153586</c:v>
                </c:pt>
                <c:pt idx="13">
                  <c:v>0.2391855823386444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F8EC-4A1E-88E6-3589E3AA28A6}"/>
            </c:ext>
          </c:extLst>
        </c:ser>
        <c:ser>
          <c:idx val="1"/>
          <c:order val="6"/>
          <c:tx>
            <c:v>T700SC-12k-60E, Test 2</c:v>
          </c:tx>
          <c:spPr>
            <a:ln w="25400" cap="rnd">
              <a:solidFill>
                <a:schemeClr val="tx1"/>
              </a:solidFill>
              <a:round/>
            </a:ln>
            <a:effectLst/>
          </c:spPr>
          <c:marker>
            <c:symbol val="triangle"/>
            <c:size val="8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Sheet1!$K$41:$K$54</c:f>
              <c:numCache>
                <c:formatCode>General</c:formatCode>
                <c:ptCount val="14"/>
                <c:pt idx="0">
                  <c:v>0.44560552534981929</c:v>
                </c:pt>
                <c:pt idx="1">
                  <c:v>4.6750499118969016</c:v>
                </c:pt>
                <c:pt idx="2">
                  <c:v>9.5901268338651864</c:v>
                </c:pt>
                <c:pt idx="3">
                  <c:v>19.083289438304309</c:v>
                </c:pt>
                <c:pt idx="4">
                  <c:v>27.98362982024701</c:v>
                </c:pt>
                <c:pt idx="5">
                  <c:v>37.672581973093465</c:v>
                </c:pt>
                <c:pt idx="6">
                  <c:v>46.590419545308833</c:v>
                </c:pt>
                <c:pt idx="7">
                  <c:v>68.790405718543553</c:v>
                </c:pt>
                <c:pt idx="8">
                  <c:v>104.19057693715669</c:v>
                </c:pt>
                <c:pt idx="9">
                  <c:v>137.16128370928922</c:v>
                </c:pt>
                <c:pt idx="10">
                  <c:v>169.05270499776324</c:v>
                </c:pt>
                <c:pt idx="11">
                  <c:v>203.72543383383302</c:v>
                </c:pt>
                <c:pt idx="12">
                  <c:v>237.18170482670754</c:v>
                </c:pt>
                <c:pt idx="13">
                  <c:v>267.81436805287501</c:v>
                </c:pt>
              </c:numCache>
            </c:numRef>
          </c:xVal>
          <c:yVal>
            <c:numRef>
              <c:f>Sheet1!$AD$41:$AD$54</c:f>
              <c:numCache>
                <c:formatCode>General</c:formatCode>
                <c:ptCount val="14"/>
                <c:pt idx="0">
                  <c:v>2.1195519228519872</c:v>
                </c:pt>
                <c:pt idx="1">
                  <c:v>0.74918269712553975</c:v>
                </c:pt>
                <c:pt idx="2">
                  <c:v>0.61840360764886726</c:v>
                </c:pt>
                <c:pt idx="3">
                  <c:v>0.48599892000692585</c:v>
                </c:pt>
                <c:pt idx="4">
                  <c:v>0.45766908210895219</c:v>
                </c:pt>
                <c:pt idx="5">
                  <c:v>0.42181026527061932</c:v>
                </c:pt>
                <c:pt idx="6">
                  <c:v>0.41015045162092717</c:v>
                </c:pt>
                <c:pt idx="7">
                  <c:v>0.35041615700515533</c:v>
                </c:pt>
                <c:pt idx="8">
                  <c:v>0.29710516773750556</c:v>
                </c:pt>
                <c:pt idx="9">
                  <c:v>0.27519667934814807</c:v>
                </c:pt>
                <c:pt idx="10">
                  <c:v>0.26399491754768606</c:v>
                </c:pt>
                <c:pt idx="11">
                  <c:v>0.24926585409656829</c:v>
                </c:pt>
                <c:pt idx="12">
                  <c:v>0.23972964707633515</c:v>
                </c:pt>
                <c:pt idx="13">
                  <c:v>0.23459699108225704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F8EC-4A1E-88E6-3589E3AA28A6}"/>
            </c:ext>
          </c:extLst>
        </c:ser>
        <c:ser>
          <c:idx val="2"/>
          <c:order val="7"/>
          <c:tx>
            <c:v>T700SC-12k-60E, Test 3</c:v>
          </c:tx>
          <c:spPr>
            <a:ln w="25400" cap="rnd">
              <a:solidFill>
                <a:schemeClr val="tx1"/>
              </a:solidFill>
              <a:round/>
            </a:ln>
            <a:effectLst/>
          </c:spPr>
          <c:marker>
            <c:symbol val="triangle"/>
            <c:size val="8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Sheet1!$K$59:$K$72</c:f>
              <c:numCache>
                <c:formatCode>General</c:formatCode>
                <c:ptCount val="14"/>
                <c:pt idx="0">
                  <c:v>0.44462312468813231</c:v>
                </c:pt>
                <c:pt idx="1">
                  <c:v>4.1188487416446504</c:v>
                </c:pt>
                <c:pt idx="2">
                  <c:v>9.133320263085448</c:v>
                </c:pt>
                <c:pt idx="3">
                  <c:v>18.426812130256607</c:v>
                </c:pt>
                <c:pt idx="4">
                  <c:v>27.439607532268621</c:v>
                </c:pt>
                <c:pt idx="5">
                  <c:v>36.867682265507021</c:v>
                </c:pt>
                <c:pt idx="6">
                  <c:v>45.642590562766316</c:v>
                </c:pt>
                <c:pt idx="7">
                  <c:v>68.303213189888496</c:v>
                </c:pt>
                <c:pt idx="8">
                  <c:v>101.9796964827389</c:v>
                </c:pt>
                <c:pt idx="9">
                  <c:v>136.12043045861682</c:v>
                </c:pt>
                <c:pt idx="10">
                  <c:v>168.91905979765139</c:v>
                </c:pt>
                <c:pt idx="11">
                  <c:v>200.64385785459868</c:v>
                </c:pt>
                <c:pt idx="12">
                  <c:v>232.4286224765805</c:v>
                </c:pt>
                <c:pt idx="13">
                  <c:v>263.78971126614084</c:v>
                </c:pt>
              </c:numCache>
            </c:numRef>
          </c:xVal>
          <c:yVal>
            <c:numRef>
              <c:f>Sheet1!$AD$59:$AD$72</c:f>
              <c:numCache>
                <c:formatCode>General</c:formatCode>
                <c:ptCount val="14"/>
                <c:pt idx="0">
                  <c:v>2.8600644856383406</c:v>
                </c:pt>
                <c:pt idx="1">
                  <c:v>0.94004087896280597</c:v>
                </c:pt>
                <c:pt idx="2">
                  <c:v>0.72420015415196604</c:v>
                </c:pt>
                <c:pt idx="3">
                  <c:v>0.53362364442473653</c:v>
                </c:pt>
                <c:pt idx="4">
                  <c:v>0.48683802690464767</c:v>
                </c:pt>
                <c:pt idx="5">
                  <c:v>0.44537176949860402</c:v>
                </c:pt>
                <c:pt idx="6">
                  <c:v>0.41805311694523806</c:v>
                </c:pt>
                <c:pt idx="7">
                  <c:v>0.35125640239199418</c:v>
                </c:pt>
                <c:pt idx="8">
                  <c:v>0.3074259105142822</c:v>
                </c:pt>
                <c:pt idx="9">
                  <c:v>0.27970422101140441</c:v>
                </c:pt>
                <c:pt idx="10">
                  <c:v>0.26960012298358399</c:v>
                </c:pt>
                <c:pt idx="11">
                  <c:v>0.25679679152196394</c:v>
                </c:pt>
                <c:pt idx="12">
                  <c:v>0.24777607897048659</c:v>
                </c:pt>
                <c:pt idx="13">
                  <c:v>0.2392894504418478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F8EC-4A1E-88E6-3589E3AA28A6}"/>
            </c:ext>
          </c:extLst>
        </c:ser>
        <c:ser>
          <c:idx val="3"/>
          <c:order val="8"/>
          <c:tx>
            <c:v>T700SC-12k-60E, Test 4</c:v>
          </c:tx>
          <c:spPr>
            <a:ln w="25400" cap="rnd">
              <a:solidFill>
                <a:schemeClr val="tx1"/>
              </a:solidFill>
              <a:round/>
            </a:ln>
            <a:effectLst/>
          </c:spPr>
          <c:marker>
            <c:symbol val="triangle"/>
            <c:size val="8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Sheet1!$K$77:$K$90</c:f>
              <c:numCache>
                <c:formatCode>General</c:formatCode>
                <c:ptCount val="14"/>
                <c:pt idx="0">
                  <c:v>0.47135167386361543</c:v>
                </c:pt>
                <c:pt idx="1">
                  <c:v>5.0295271744401333</c:v>
                </c:pt>
                <c:pt idx="2">
                  <c:v>10.41086794293699</c:v>
                </c:pt>
                <c:pt idx="3">
                  <c:v>19.539319298590677</c:v>
                </c:pt>
                <c:pt idx="4">
                  <c:v>29.358801874562854</c:v>
                </c:pt>
                <c:pt idx="5">
                  <c:v>38.27689225983422</c:v>
                </c:pt>
                <c:pt idx="6">
                  <c:v>47.324585047331453</c:v>
                </c:pt>
                <c:pt idx="7">
                  <c:v>70.10153584072664</c:v>
                </c:pt>
                <c:pt idx="8">
                  <c:v>103.5674029943559</c:v>
                </c:pt>
                <c:pt idx="9">
                  <c:v>139.45211126857433</c:v>
                </c:pt>
                <c:pt idx="10">
                  <c:v>170.66113405404849</c:v>
                </c:pt>
                <c:pt idx="11">
                  <c:v>206.71371867273919</c:v>
                </c:pt>
                <c:pt idx="12">
                  <c:v>237.44103156430813</c:v>
                </c:pt>
                <c:pt idx="13">
                  <c:v>273.03506826929458</c:v>
                </c:pt>
              </c:numCache>
            </c:numRef>
          </c:xVal>
          <c:yVal>
            <c:numRef>
              <c:f>Sheet1!$AD$77:$AD$90</c:f>
              <c:numCache>
                <c:formatCode>General</c:formatCode>
                <c:ptCount val="14"/>
                <c:pt idx="0">
                  <c:v>2.9144611741402202</c:v>
                </c:pt>
                <c:pt idx="1">
                  <c:v>0.77574417099308213</c:v>
                </c:pt>
                <c:pt idx="2">
                  <c:v>0.63484615171225367</c:v>
                </c:pt>
                <c:pt idx="3">
                  <c:v>0.52913311070562541</c:v>
                </c:pt>
                <c:pt idx="4">
                  <c:v>0.47038169723495632</c:v>
                </c:pt>
                <c:pt idx="5">
                  <c:v>0.43146262809800157</c:v>
                </c:pt>
                <c:pt idx="6">
                  <c:v>0.40173195913725013</c:v>
                </c:pt>
                <c:pt idx="7">
                  <c:v>0.33531422437582209</c:v>
                </c:pt>
                <c:pt idx="8">
                  <c:v>0.29834999947094859</c:v>
                </c:pt>
                <c:pt idx="9">
                  <c:v>0.27469787488285646</c:v>
                </c:pt>
                <c:pt idx="10">
                  <c:v>0.2623281263864457</c:v>
                </c:pt>
                <c:pt idx="11">
                  <c:v>0.2472899156449776</c:v>
                </c:pt>
                <c:pt idx="12">
                  <c:v>0.2433601191395211</c:v>
                </c:pt>
                <c:pt idx="13">
                  <c:v>0.23781936681412169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F8EC-4A1E-88E6-3589E3AA28A6}"/>
            </c:ext>
          </c:extLst>
        </c:ser>
        <c:ser>
          <c:idx val="4"/>
          <c:order val="9"/>
          <c:tx>
            <c:v>T700SC-12k-60E, Test 5</c:v>
          </c:tx>
          <c:spPr>
            <a:ln w="25400" cap="rnd">
              <a:solidFill>
                <a:schemeClr val="tx1"/>
              </a:solidFill>
              <a:round/>
            </a:ln>
            <a:effectLst/>
          </c:spPr>
          <c:marker>
            <c:symbol val="triangle"/>
            <c:size val="8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Sheet1!$K$95:$K$108</c:f>
              <c:numCache>
                <c:formatCode>General</c:formatCode>
                <c:ptCount val="14"/>
                <c:pt idx="0">
                  <c:v>0.44120067624127202</c:v>
                </c:pt>
                <c:pt idx="1">
                  <c:v>5.2636027112681774</c:v>
                </c:pt>
                <c:pt idx="2">
                  <c:v>9.9345273199627577</c:v>
                </c:pt>
                <c:pt idx="3">
                  <c:v>18.832126771239142</c:v>
                </c:pt>
                <c:pt idx="4">
                  <c:v>27.60267224218974</c:v>
                </c:pt>
                <c:pt idx="5">
                  <c:v>36.568834422025141</c:v>
                </c:pt>
                <c:pt idx="6">
                  <c:v>45.047427567874564</c:v>
                </c:pt>
                <c:pt idx="7">
                  <c:v>67.086946947074551</c:v>
                </c:pt>
                <c:pt idx="8">
                  <c:v>99.715476711766286</c:v>
                </c:pt>
                <c:pt idx="9">
                  <c:v>132.68151808537138</c:v>
                </c:pt>
                <c:pt idx="10">
                  <c:v>162.05026783912265</c:v>
                </c:pt>
                <c:pt idx="11">
                  <c:v>192.96453308846876</c:v>
                </c:pt>
                <c:pt idx="12">
                  <c:v>223.09717710483611</c:v>
                </c:pt>
                <c:pt idx="13">
                  <c:v>253.24714051147129</c:v>
                </c:pt>
              </c:numCache>
            </c:numRef>
          </c:xVal>
          <c:yVal>
            <c:numRef>
              <c:f>Sheet1!$AD$95:$AD$108</c:f>
              <c:numCache>
                <c:formatCode>General</c:formatCode>
                <c:ptCount val="14"/>
                <c:pt idx="0">
                  <c:v>2.4864540208256414</c:v>
                </c:pt>
                <c:pt idx="1">
                  <c:v>0.721257382834807</c:v>
                </c:pt>
                <c:pt idx="2">
                  <c:v>0.57797076162313021</c:v>
                </c:pt>
                <c:pt idx="3">
                  <c:v>0.47244014320912037</c:v>
                </c:pt>
                <c:pt idx="4">
                  <c:v>0.42329913055268614</c:v>
                </c:pt>
                <c:pt idx="5">
                  <c:v>0.40039284155828869</c:v>
                </c:pt>
                <c:pt idx="6">
                  <c:v>0.3744950015977449</c:v>
                </c:pt>
                <c:pt idx="7">
                  <c:v>0.31610605062053759</c:v>
                </c:pt>
                <c:pt idx="8">
                  <c:v>0.27931203590713183</c:v>
                </c:pt>
                <c:pt idx="9">
                  <c:v>0.26010713702800048</c:v>
                </c:pt>
                <c:pt idx="10">
                  <c:v>0.24897569496788166</c:v>
                </c:pt>
                <c:pt idx="11">
                  <c:v>0.23489098510615969</c:v>
                </c:pt>
                <c:pt idx="12">
                  <c:v>0.2314492763988292</c:v>
                </c:pt>
                <c:pt idx="13">
                  <c:v>0.22242596019416541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F8EC-4A1E-88E6-3589E3AA28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7558488"/>
        <c:axId val="277558880"/>
      </c:scatterChart>
      <c:valAx>
        <c:axId val="277558488"/>
        <c:scaling>
          <c:orientation val="minMax"/>
          <c:max val="35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dash"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2400" b="1">
                    <a:solidFill>
                      <a:sysClr val="windowText" lastClr="000000"/>
                    </a:solidFill>
                  </a:rPr>
                  <a:t>Normal Pressure (kPa)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4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out"/>
        <c:tickLblPos val="nextTo"/>
        <c:spPr>
          <a:noFill/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7558880"/>
        <c:crosses val="autoZero"/>
        <c:crossBetween val="midCat"/>
      </c:valAx>
      <c:valAx>
        <c:axId val="27755888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prstDash val="dash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2400" b="1">
                    <a:solidFill>
                      <a:sysClr val="windowText" lastClr="000000"/>
                    </a:solidFill>
                  </a:rPr>
                  <a:t>Coefficient</a:t>
                </a:r>
                <a:r>
                  <a:rPr lang="en-GB" sz="2400" b="1" baseline="0">
                    <a:solidFill>
                      <a:sysClr val="windowText" lastClr="000000"/>
                    </a:solidFill>
                  </a:rPr>
                  <a:t> of Friction, </a:t>
                </a:r>
                <a:r>
                  <a:rPr lang="en-GB" sz="2400" b="1" i="1" baseline="0">
                    <a:solidFill>
                      <a:sysClr val="windowText" lastClr="000000"/>
                    </a:solidFill>
                  </a:rPr>
                  <a:t>f</a:t>
                </a:r>
                <a:endParaRPr lang="en-GB" sz="2400" b="1" i="1">
                  <a:solidFill>
                    <a:sysClr val="windowText" lastClr="000000"/>
                  </a:solidFill>
                </a:endParaRPr>
              </a:p>
            </c:rich>
          </c:tx>
          <c:layout>
            <c:manualLayout>
              <c:xMode val="edge"/>
              <c:yMode val="edge"/>
              <c:x val="7.6594886377442479E-3"/>
              <c:y val="0.1750420409557784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out"/>
        <c:tickLblPos val="nextTo"/>
        <c:spPr>
          <a:noFill/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7558488"/>
        <c:crosses val="autoZero"/>
        <c:crossBetween val="midCat"/>
      </c:valAx>
      <c:spPr>
        <a:noFill/>
        <a:ln w="9525">
          <a:solidFill>
            <a:schemeClr val="bg1">
              <a:lumMod val="65000"/>
            </a:schemeClr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7203680253120077"/>
          <c:y val="4.6148081216727685E-2"/>
          <c:w val="0.79356721222782955"/>
          <c:h val="0.7586193623460753"/>
        </c:manualLayout>
      </c:layout>
      <c:scatterChart>
        <c:scatterStyle val="smooth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8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Sheet1!$F$23:$F$36</c:f>
              <c:numCache>
                <c:formatCode>General</c:formatCode>
                <c:ptCount val="14"/>
                <c:pt idx="0">
                  <c:v>7.7499000000000012E-2</c:v>
                </c:pt>
                <c:pt idx="1">
                  <c:v>0.8506156277907333</c:v>
                </c:pt>
                <c:pt idx="2">
                  <c:v>1.6543043982006049</c:v>
                </c:pt>
                <c:pt idx="3">
                  <c:v>3.3053020656447742</c:v>
                </c:pt>
                <c:pt idx="4">
                  <c:v>4.8459971672775701</c:v>
                </c:pt>
                <c:pt idx="5">
                  <c:v>6.5329298563812275</c:v>
                </c:pt>
                <c:pt idx="6">
                  <c:v>8.0960861376208104</c:v>
                </c:pt>
                <c:pt idx="7">
                  <c:v>12.061953848383862</c:v>
                </c:pt>
                <c:pt idx="8">
                  <c:v>18.536381705764761</c:v>
                </c:pt>
                <c:pt idx="9">
                  <c:v>24.009449016661161</c:v>
                </c:pt>
                <c:pt idx="10">
                  <c:v>30.293743918360757</c:v>
                </c:pt>
                <c:pt idx="11">
                  <c:v>36.017528990003186</c:v>
                </c:pt>
                <c:pt idx="12">
                  <c:v>42.117255414527833</c:v>
                </c:pt>
                <c:pt idx="13">
                  <c:v>48.017453348550248</c:v>
                </c:pt>
              </c:numCache>
            </c:numRef>
          </c:xVal>
          <c:yVal>
            <c:numRef>
              <c:f>Sheet1!$P$23:$P$36</c:f>
              <c:numCache>
                <c:formatCode>General</c:formatCode>
                <c:ptCount val="14"/>
                <c:pt idx="0">
                  <c:v>6.3303614876641942E-3</c:v>
                </c:pt>
                <c:pt idx="1">
                  <c:v>3.249416271040436E-2</c:v>
                </c:pt>
                <c:pt idx="2">
                  <c:v>5.3583018158083993E-2</c:v>
                </c:pt>
                <c:pt idx="3">
                  <c:v>8.8893886498167624E-2</c:v>
                </c:pt>
                <c:pt idx="4">
                  <c:v>0.12304413884622939</c:v>
                </c:pt>
                <c:pt idx="5">
                  <c:v>0.15930408530790641</c:v>
                </c:pt>
                <c:pt idx="6">
                  <c:v>0.19210237310568012</c:v>
                </c:pt>
                <c:pt idx="7">
                  <c:v>0.25230815644149701</c:v>
                </c:pt>
                <c:pt idx="8">
                  <c:v>0.34530040467308831</c:v>
                </c:pt>
                <c:pt idx="9">
                  <c:v>0.41918453655710447</c:v>
                </c:pt>
                <c:pt idx="10">
                  <c:v>0.49873025112666336</c:v>
                </c:pt>
                <c:pt idx="11">
                  <c:v>0.56591474585210566</c:v>
                </c:pt>
                <c:pt idx="12">
                  <c:v>0.63527186323212437</c:v>
                </c:pt>
                <c:pt idx="13">
                  <c:v>0.69886834172253898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181-4C64-A955-202A6558173A}"/>
            </c:ext>
          </c:extLst>
        </c:ser>
        <c:ser>
          <c:idx val="1"/>
          <c:order val="1"/>
          <c:spPr>
            <a:ln w="19050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circle"/>
            <c:size val="8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Sheet1!$F$23:$F$36</c:f>
              <c:numCache>
                <c:formatCode>General</c:formatCode>
                <c:ptCount val="14"/>
                <c:pt idx="0">
                  <c:v>7.7499000000000012E-2</c:v>
                </c:pt>
                <c:pt idx="1">
                  <c:v>0.8506156277907333</c:v>
                </c:pt>
                <c:pt idx="2">
                  <c:v>1.6543043982006049</c:v>
                </c:pt>
                <c:pt idx="3">
                  <c:v>3.3053020656447742</c:v>
                </c:pt>
                <c:pt idx="4">
                  <c:v>4.8459971672775701</c:v>
                </c:pt>
                <c:pt idx="5">
                  <c:v>6.5329298563812275</c:v>
                </c:pt>
                <c:pt idx="6">
                  <c:v>8.0960861376208104</c:v>
                </c:pt>
                <c:pt idx="7">
                  <c:v>12.061953848383862</c:v>
                </c:pt>
                <c:pt idx="8">
                  <c:v>18.536381705764761</c:v>
                </c:pt>
                <c:pt idx="9">
                  <c:v>24.009449016661161</c:v>
                </c:pt>
                <c:pt idx="10">
                  <c:v>30.293743918360757</c:v>
                </c:pt>
                <c:pt idx="11">
                  <c:v>36.017528990003186</c:v>
                </c:pt>
                <c:pt idx="12">
                  <c:v>42.117255414527833</c:v>
                </c:pt>
                <c:pt idx="13">
                  <c:v>48.017453348550248</c:v>
                </c:pt>
              </c:numCache>
            </c:numRef>
          </c:xVal>
          <c:yVal>
            <c:numRef>
              <c:f>Sheet1!$T$23:$T$36</c:f>
              <c:numCache>
                <c:formatCode>General</c:formatCode>
                <c:ptCount val="14"/>
                <c:pt idx="0">
                  <c:v>4.756755341114749E-2</c:v>
                </c:pt>
                <c:pt idx="1">
                  <c:v>0.15759028607043232</c:v>
                </c:pt>
                <c:pt idx="2">
                  <c:v>0.22011912895695296</c:v>
                </c:pt>
                <c:pt idx="3">
                  <c:v>0.31185108068303569</c:v>
                </c:pt>
                <c:pt idx="4">
                  <c:v>0.37854196943711704</c:v>
                </c:pt>
                <c:pt idx="5">
                  <c:v>0.44032342242426298</c:v>
                </c:pt>
                <c:pt idx="6">
                  <c:v>0.49075907507027106</c:v>
                </c:pt>
                <c:pt idx="7">
                  <c:v>0.60068643684823753</c:v>
                </c:pt>
                <c:pt idx="8">
                  <c:v>0.74707767517890389</c:v>
                </c:pt>
                <c:pt idx="9">
                  <c:v>0.85351773420034172</c:v>
                </c:pt>
                <c:pt idx="10">
                  <c:v>0.96461442594438573</c:v>
                </c:pt>
                <c:pt idx="11">
                  <c:v>1.0574168235259209</c:v>
                </c:pt>
                <c:pt idx="12">
                  <c:v>1.1487917953362596</c:v>
                </c:pt>
                <c:pt idx="13">
                  <c:v>1.2323558462446111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181-4C64-A955-202A6558173A}"/>
            </c:ext>
          </c:extLst>
        </c:ser>
        <c:ser>
          <c:idx val="2"/>
          <c:order val="2"/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Sheet1!$F$23:$F$36</c:f>
              <c:numCache>
                <c:formatCode>General</c:formatCode>
                <c:ptCount val="14"/>
                <c:pt idx="0">
                  <c:v>7.7499000000000012E-2</c:v>
                </c:pt>
                <c:pt idx="1">
                  <c:v>0.8506156277907333</c:v>
                </c:pt>
                <c:pt idx="2">
                  <c:v>1.6543043982006049</c:v>
                </c:pt>
                <c:pt idx="3">
                  <c:v>3.3053020656447742</c:v>
                </c:pt>
                <c:pt idx="4">
                  <c:v>4.8459971672775701</c:v>
                </c:pt>
                <c:pt idx="5">
                  <c:v>6.5329298563812275</c:v>
                </c:pt>
                <c:pt idx="6">
                  <c:v>8.0960861376208104</c:v>
                </c:pt>
                <c:pt idx="7">
                  <c:v>12.061953848383862</c:v>
                </c:pt>
                <c:pt idx="8">
                  <c:v>18.536381705764761</c:v>
                </c:pt>
                <c:pt idx="9">
                  <c:v>24.009449016661161</c:v>
                </c:pt>
                <c:pt idx="10">
                  <c:v>30.293743918360757</c:v>
                </c:pt>
                <c:pt idx="11">
                  <c:v>36.017528990003186</c:v>
                </c:pt>
                <c:pt idx="12">
                  <c:v>42.117255414527833</c:v>
                </c:pt>
                <c:pt idx="13">
                  <c:v>48.017453348550248</c:v>
                </c:pt>
              </c:numCache>
            </c:numRef>
          </c:xVal>
          <c:yVal>
            <c:numRef>
              <c:f>Sheet1!$BH$23:$BH$36</c:f>
              <c:numCache>
                <c:formatCode>General</c:formatCode>
                <c:ptCount val="14"/>
                <c:pt idx="0">
                  <c:v>5.8185290059284247E-3</c:v>
                </c:pt>
                <c:pt idx="1">
                  <c:v>3.4693737853883119E-2</c:v>
                </c:pt>
                <c:pt idx="2">
                  <c:v>5.6958021751987657E-2</c:v>
                </c:pt>
                <c:pt idx="3">
                  <c:v>9.5408901408263941E-2</c:v>
                </c:pt>
                <c:pt idx="4">
                  <c:v>0.12689277278811986</c:v>
                </c:pt>
                <c:pt idx="5">
                  <c:v>0.15853341325300807</c:v>
                </c:pt>
                <c:pt idx="6">
                  <c:v>0.18601941248125847</c:v>
                </c:pt>
                <c:pt idx="7">
                  <c:v>0.25038102046722494</c:v>
                </c:pt>
                <c:pt idx="8">
                  <c:v>0.34488938429087473</c:v>
                </c:pt>
                <c:pt idx="9">
                  <c:v>0.41823432238055841</c:v>
                </c:pt>
                <c:pt idx="10">
                  <c:v>0.49736265748388736</c:v>
                </c:pt>
                <c:pt idx="11">
                  <c:v>0.56583608696637633</c:v>
                </c:pt>
                <c:pt idx="12">
                  <c:v>0.63581519971904332</c:v>
                </c:pt>
                <c:pt idx="13">
                  <c:v>0.70108001579719459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181-4C64-A955-202A655817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8343800"/>
        <c:axId val="268344192"/>
      </c:scatterChart>
      <c:valAx>
        <c:axId val="268343800"/>
        <c:scaling>
          <c:orientation val="minMax"/>
          <c:max val="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3200">
                    <a:solidFill>
                      <a:sysClr val="windowText" lastClr="000000"/>
                    </a:solidFill>
                  </a:rPr>
                  <a:t>Normal Load, </a:t>
                </a:r>
                <a:r>
                  <a:rPr lang="en-GB" sz="3200" i="1">
                    <a:solidFill>
                      <a:sysClr val="windowText" lastClr="000000"/>
                    </a:solidFill>
                  </a:rPr>
                  <a:t>W</a:t>
                </a:r>
                <a:r>
                  <a:rPr lang="en-GB" sz="3200">
                    <a:solidFill>
                      <a:sysClr val="windowText" lastClr="000000"/>
                    </a:solidFill>
                  </a:rPr>
                  <a:t> (N)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out"/>
        <c:tickLblPos val="nextTo"/>
        <c:spPr>
          <a:noFill/>
          <a:ln w="285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8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8344192"/>
        <c:crosses val="autoZero"/>
        <c:crossBetween val="midCat"/>
      </c:valAx>
      <c:valAx>
        <c:axId val="268344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32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3200">
                    <a:solidFill>
                      <a:sysClr val="windowText" lastClr="000000"/>
                    </a:solidFill>
                  </a:rPr>
                  <a:t>Real Contact Area, </a:t>
                </a:r>
                <a:r>
                  <a:rPr lang="en-GB" sz="3200" i="1">
                    <a:solidFill>
                      <a:sysClr val="windowText" lastClr="000000"/>
                    </a:solidFill>
                  </a:rPr>
                  <a:t>A</a:t>
                </a:r>
                <a:r>
                  <a:rPr lang="en-GB" sz="3200">
                    <a:solidFill>
                      <a:sysClr val="windowText" lastClr="000000"/>
                    </a:solidFill>
                  </a:rPr>
                  <a:t> (mm</a:t>
                </a:r>
                <a:r>
                  <a:rPr lang="en-GB" sz="3200" baseline="30000">
                    <a:solidFill>
                      <a:sysClr val="windowText" lastClr="000000"/>
                    </a:solidFill>
                  </a:rPr>
                  <a:t>2</a:t>
                </a:r>
                <a:r>
                  <a:rPr lang="en-GB" sz="3200">
                    <a:solidFill>
                      <a:sysClr val="windowText" lastClr="000000"/>
                    </a:solidFill>
                  </a:rPr>
                  <a:t>)</a:t>
                </a:r>
              </a:p>
            </c:rich>
          </c:tx>
          <c:layout>
            <c:manualLayout>
              <c:xMode val="edge"/>
              <c:yMode val="edge"/>
              <c:x val="5.4618475968193124E-3"/>
              <c:y val="6.1882247160847552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32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out"/>
        <c:tickLblPos val="nextTo"/>
        <c:spPr>
          <a:noFill/>
          <a:ln w="285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8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83438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7203680253120077"/>
          <c:y val="4.6148081216727685E-2"/>
          <c:w val="0.79356721222782955"/>
          <c:h val="0.7586193623460753"/>
        </c:manualLayout>
      </c:layout>
      <c:scatterChart>
        <c:scatterStyle val="smooth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8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Sheet1!$F$41:$F$54</c:f>
              <c:numCache>
                <c:formatCode>General</c:formatCode>
                <c:ptCount val="14"/>
                <c:pt idx="0">
                  <c:v>7.7499000000000012E-2</c:v>
                </c:pt>
                <c:pt idx="1">
                  <c:v>0.81323708730423683</c:v>
                </c:pt>
                <c:pt idx="2">
                  <c:v>1.6643873705431667</c:v>
                </c:pt>
                <c:pt idx="3">
                  <c:v>3.3112484168610354</c:v>
                </c:pt>
                <c:pt idx="4">
                  <c:v>4.9036809393535554</c:v>
                </c:pt>
                <c:pt idx="5">
                  <c:v>6.5533330553149236</c:v>
                </c:pt>
                <c:pt idx="6">
                  <c:v>8.1293660443186049</c:v>
                </c:pt>
                <c:pt idx="7">
                  <c:v>12.04072092602463</c:v>
                </c:pt>
                <c:pt idx="8">
                  <c:v>18.307534654781676</c:v>
                </c:pt>
                <c:pt idx="9">
                  <c:v>24.216364711429623</c:v>
                </c:pt>
                <c:pt idx="10">
                  <c:v>30.035665944352218</c:v>
                </c:pt>
                <c:pt idx="11">
                  <c:v>36.323720259580305</c:v>
                </c:pt>
                <c:pt idx="12">
                  <c:v>42.461428023659529</c:v>
                </c:pt>
                <c:pt idx="13">
                  <c:v>48.12194351849439</c:v>
                </c:pt>
              </c:numCache>
            </c:numRef>
          </c:xVal>
          <c:yVal>
            <c:numRef>
              <c:f>Sheet1!$P$41:$P$54</c:f>
              <c:numCache>
                <c:formatCode>General</c:formatCode>
                <c:ptCount val="14"/>
                <c:pt idx="0">
                  <c:v>4.8264524067132631E-3</c:v>
                </c:pt>
                <c:pt idx="1">
                  <c:v>2.5927039440954369E-2</c:v>
                </c:pt>
                <c:pt idx="2">
                  <c:v>4.5644868700149097E-2</c:v>
                </c:pt>
                <c:pt idx="3">
                  <c:v>8.5524363192557809E-2</c:v>
                </c:pt>
                <c:pt idx="4">
                  <c:v>0.12248269923586477</c:v>
                </c:pt>
                <c:pt idx="5">
                  <c:v>0.16194285647325274</c:v>
                </c:pt>
                <c:pt idx="6">
                  <c:v>0.19834250786552626</c:v>
                </c:pt>
                <c:pt idx="7">
                  <c:v>0.25908431567521911</c:v>
                </c:pt>
                <c:pt idx="8">
                  <c:v>0.34820571731544897</c:v>
                </c:pt>
                <c:pt idx="9">
                  <c:v>0.42975511890248402</c:v>
                </c:pt>
                <c:pt idx="10">
                  <c:v>0.50338874562457414</c:v>
                </c:pt>
                <c:pt idx="11">
                  <c:v>0.57523762170902915</c:v>
                </c:pt>
                <c:pt idx="12">
                  <c:v>0.64488950719309035</c:v>
                </c:pt>
                <c:pt idx="13">
                  <c:v>0.70729578520227931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C6-4EAC-92BC-F890522A0BE4}"/>
            </c:ext>
          </c:extLst>
        </c:ser>
        <c:ser>
          <c:idx val="1"/>
          <c:order val="1"/>
          <c:spPr>
            <a:ln w="19050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circle"/>
            <c:size val="8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Sheet1!$F$41:$F$54</c:f>
              <c:numCache>
                <c:formatCode>General</c:formatCode>
                <c:ptCount val="14"/>
                <c:pt idx="0">
                  <c:v>7.7499000000000012E-2</c:v>
                </c:pt>
                <c:pt idx="1">
                  <c:v>0.81323708730423683</c:v>
                </c:pt>
                <c:pt idx="2">
                  <c:v>1.6643873705431667</c:v>
                </c:pt>
                <c:pt idx="3">
                  <c:v>3.3112484168610354</c:v>
                </c:pt>
                <c:pt idx="4">
                  <c:v>4.9036809393535554</c:v>
                </c:pt>
                <c:pt idx="5">
                  <c:v>6.5533330553149236</c:v>
                </c:pt>
                <c:pt idx="6">
                  <c:v>8.1293660443186049</c:v>
                </c:pt>
                <c:pt idx="7">
                  <c:v>12.04072092602463</c:v>
                </c:pt>
                <c:pt idx="8">
                  <c:v>18.307534654781676</c:v>
                </c:pt>
                <c:pt idx="9">
                  <c:v>24.216364711429623</c:v>
                </c:pt>
                <c:pt idx="10">
                  <c:v>30.035665944352218</c:v>
                </c:pt>
                <c:pt idx="11">
                  <c:v>36.323720259580305</c:v>
                </c:pt>
                <c:pt idx="12">
                  <c:v>42.461428023659529</c:v>
                </c:pt>
                <c:pt idx="13">
                  <c:v>48.12194351849439</c:v>
                </c:pt>
              </c:numCache>
            </c:numRef>
          </c:xVal>
          <c:yVal>
            <c:numRef>
              <c:f>Sheet1!$T$41:$T$54</c:f>
              <c:numCache>
                <c:formatCode>General</c:formatCode>
                <c:ptCount val="14"/>
                <c:pt idx="0">
                  <c:v>4.8479191307799423E-2</c:v>
                </c:pt>
                <c:pt idx="1">
                  <c:v>0.15705747169654177</c:v>
                </c:pt>
                <c:pt idx="2">
                  <c:v>0.2244278700827361</c:v>
                </c:pt>
                <c:pt idx="3">
                  <c:v>0.31651893562260902</c:v>
                </c:pt>
                <c:pt idx="4">
                  <c:v>0.38708356561197382</c:v>
                </c:pt>
                <c:pt idx="5">
                  <c:v>0.44584520344093909</c:v>
                </c:pt>
                <c:pt idx="6">
                  <c:v>0.49732801038359814</c:v>
                </c:pt>
                <c:pt idx="7">
                  <c:v>0.60621001487122517</c:v>
                </c:pt>
                <c:pt idx="8">
                  <c:v>0.74894546449766342</c:v>
                </c:pt>
                <c:pt idx="9">
                  <c:v>0.86343118411185671</c:v>
                </c:pt>
                <c:pt idx="10">
                  <c:v>0.96462997915922832</c:v>
                </c:pt>
                <c:pt idx="11">
                  <c:v>1.0626793669156602</c:v>
                </c:pt>
                <c:pt idx="12">
                  <c:v>1.1513001316152041</c:v>
                </c:pt>
                <c:pt idx="13">
                  <c:v>1.2278937087578445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AC6-4EAC-92BC-F890522A0BE4}"/>
            </c:ext>
          </c:extLst>
        </c:ser>
        <c:ser>
          <c:idx val="2"/>
          <c:order val="2"/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Sheet1!$F$41:$F$54</c:f>
              <c:numCache>
                <c:formatCode>General</c:formatCode>
                <c:ptCount val="14"/>
                <c:pt idx="0">
                  <c:v>7.7499000000000012E-2</c:v>
                </c:pt>
                <c:pt idx="1">
                  <c:v>0.81323708730423683</c:v>
                </c:pt>
                <c:pt idx="2">
                  <c:v>1.6643873705431667</c:v>
                </c:pt>
                <c:pt idx="3">
                  <c:v>3.3112484168610354</c:v>
                </c:pt>
                <c:pt idx="4">
                  <c:v>4.9036809393535554</c:v>
                </c:pt>
                <c:pt idx="5">
                  <c:v>6.5533330553149236</c:v>
                </c:pt>
                <c:pt idx="6">
                  <c:v>8.1293660443186049</c:v>
                </c:pt>
                <c:pt idx="7">
                  <c:v>12.04072092602463</c:v>
                </c:pt>
                <c:pt idx="8">
                  <c:v>18.307534654781676</c:v>
                </c:pt>
                <c:pt idx="9">
                  <c:v>24.216364711429623</c:v>
                </c:pt>
                <c:pt idx="10">
                  <c:v>30.035665944352218</c:v>
                </c:pt>
                <c:pt idx="11">
                  <c:v>36.323720259580305</c:v>
                </c:pt>
                <c:pt idx="12">
                  <c:v>42.461428023659529</c:v>
                </c:pt>
                <c:pt idx="13">
                  <c:v>48.12194351849439</c:v>
                </c:pt>
              </c:numCache>
            </c:numRef>
          </c:xVal>
          <c:yVal>
            <c:numRef>
              <c:f>Sheet1!$BH$41:$BH$54</c:f>
              <c:numCache>
                <c:formatCode>General</c:formatCode>
                <c:ptCount val="14"/>
                <c:pt idx="0">
                  <c:v>5.8511028808225975E-3</c:v>
                </c:pt>
                <c:pt idx="1">
                  <c:v>3.3826201120444779E-2</c:v>
                </c:pt>
                <c:pt idx="2">
                  <c:v>5.7731310923685428E-2</c:v>
                </c:pt>
                <c:pt idx="3">
                  <c:v>9.6469267032682812E-2</c:v>
                </c:pt>
                <c:pt idx="4">
                  <c:v>0.12932214519592578</c:v>
                </c:pt>
                <c:pt idx="5">
                  <c:v>0.16057374729990637</c:v>
                </c:pt>
                <c:pt idx="6">
                  <c:v>0.18859641442236624</c:v>
                </c:pt>
                <c:pt idx="7">
                  <c:v>0.25285185576424668</c:v>
                </c:pt>
                <c:pt idx="8">
                  <c:v>0.34569576370379124</c:v>
                </c:pt>
                <c:pt idx="9">
                  <c:v>0.42595728056399945</c:v>
                </c:pt>
                <c:pt idx="10">
                  <c:v>0.50023673530475454</c:v>
                </c:pt>
                <c:pt idx="11">
                  <c:v>0.57649186469083213</c:v>
                </c:pt>
                <c:pt idx="12">
                  <c:v>0.64774235028355887</c:v>
                </c:pt>
                <c:pt idx="13">
                  <c:v>0.71116121017219269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AC6-4EAC-92BC-F890522A0B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8344976"/>
        <c:axId val="268345368"/>
      </c:scatterChart>
      <c:valAx>
        <c:axId val="268344976"/>
        <c:scaling>
          <c:orientation val="minMax"/>
          <c:max val="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3200">
                    <a:solidFill>
                      <a:sysClr val="windowText" lastClr="000000"/>
                    </a:solidFill>
                  </a:rPr>
                  <a:t>Normal Load, </a:t>
                </a:r>
                <a:r>
                  <a:rPr lang="en-GB" sz="3200" i="1">
                    <a:solidFill>
                      <a:sysClr val="windowText" lastClr="000000"/>
                    </a:solidFill>
                  </a:rPr>
                  <a:t>W</a:t>
                </a:r>
                <a:r>
                  <a:rPr lang="en-GB" sz="3200">
                    <a:solidFill>
                      <a:sysClr val="windowText" lastClr="000000"/>
                    </a:solidFill>
                  </a:rPr>
                  <a:t> (N)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out"/>
        <c:tickLblPos val="nextTo"/>
        <c:spPr>
          <a:noFill/>
          <a:ln w="285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8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8345368"/>
        <c:crosses val="autoZero"/>
        <c:crossBetween val="midCat"/>
      </c:valAx>
      <c:valAx>
        <c:axId val="268345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32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3200">
                    <a:solidFill>
                      <a:sysClr val="windowText" lastClr="000000"/>
                    </a:solidFill>
                  </a:rPr>
                  <a:t>Real Contact Area, </a:t>
                </a:r>
                <a:r>
                  <a:rPr lang="en-GB" sz="3200" i="1">
                    <a:solidFill>
                      <a:sysClr val="windowText" lastClr="000000"/>
                    </a:solidFill>
                  </a:rPr>
                  <a:t>A</a:t>
                </a:r>
                <a:r>
                  <a:rPr lang="en-GB" sz="3200">
                    <a:solidFill>
                      <a:sysClr val="windowText" lastClr="000000"/>
                    </a:solidFill>
                  </a:rPr>
                  <a:t> (mm</a:t>
                </a:r>
                <a:r>
                  <a:rPr lang="en-GB" sz="3200" baseline="30000">
                    <a:solidFill>
                      <a:sysClr val="windowText" lastClr="000000"/>
                    </a:solidFill>
                  </a:rPr>
                  <a:t>2</a:t>
                </a:r>
                <a:r>
                  <a:rPr lang="en-GB" sz="3200">
                    <a:solidFill>
                      <a:sysClr val="windowText" lastClr="000000"/>
                    </a:solidFill>
                  </a:rPr>
                  <a:t>)</a:t>
                </a:r>
              </a:p>
            </c:rich>
          </c:tx>
          <c:layout>
            <c:manualLayout>
              <c:xMode val="edge"/>
              <c:yMode val="edge"/>
              <c:x val="5.4618475968193124E-3"/>
              <c:y val="6.1882247160847552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32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out"/>
        <c:tickLblPos val="nextTo"/>
        <c:spPr>
          <a:noFill/>
          <a:ln w="285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8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83449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7203680253120077"/>
          <c:y val="4.6148081216727685E-2"/>
          <c:w val="0.79356721222782955"/>
          <c:h val="0.7586193623460753"/>
        </c:manualLayout>
      </c:layout>
      <c:scatterChart>
        <c:scatterStyle val="smooth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8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Sheet1!$F$59:$F$72</c:f>
              <c:numCache>
                <c:formatCode>General</c:formatCode>
                <c:ptCount val="14"/>
                <c:pt idx="0">
                  <c:v>7.7499000000000012E-2</c:v>
                </c:pt>
                <c:pt idx="1">
                  <c:v>0.71981139620126944</c:v>
                </c:pt>
                <c:pt idx="2">
                  <c:v>1.5971442852382687</c:v>
                </c:pt>
                <c:pt idx="3">
                  <c:v>3.226341552815716</c:v>
                </c:pt>
                <c:pt idx="4">
                  <c:v>4.809920359880028</c:v>
                </c:pt>
                <c:pt idx="5">
                  <c:v>6.5151236254582159</c:v>
                </c:pt>
                <c:pt idx="6">
                  <c:v>8.0053275574808662</c:v>
                </c:pt>
                <c:pt idx="7">
                  <c:v>12.032954015328206</c:v>
                </c:pt>
                <c:pt idx="8">
                  <c:v>18.042240253248931</c:v>
                </c:pt>
                <c:pt idx="9">
                  <c:v>24.174294235255008</c:v>
                </c:pt>
                <c:pt idx="10">
                  <c:v>30.198992669110293</c:v>
                </c:pt>
                <c:pt idx="11">
                  <c:v>36.221839386871437</c:v>
                </c:pt>
                <c:pt idx="12">
                  <c:v>42.363460513162678</c:v>
                </c:pt>
                <c:pt idx="13">
                  <c:v>48.358388203932257</c:v>
                </c:pt>
              </c:numCache>
            </c:numRef>
          </c:xVal>
          <c:yVal>
            <c:numRef>
              <c:f>Sheet1!$P$59:$P$72</c:f>
              <c:numCache>
                <c:formatCode>General</c:formatCode>
                <c:ptCount val="14"/>
                <c:pt idx="0">
                  <c:v>5.8863538876551876E-3</c:v>
                </c:pt>
                <c:pt idx="1">
                  <c:v>2.8749324241505388E-2</c:v>
                </c:pt>
                <c:pt idx="2">
                  <c:v>5.5021540026937342E-2</c:v>
                </c:pt>
                <c:pt idx="3">
                  <c:v>9.4730304100503385E-2</c:v>
                </c:pt>
                <c:pt idx="4">
                  <c:v>0.13232217660533113</c:v>
                </c:pt>
                <c:pt idx="5">
                  <c:v>0.16803176405643663</c:v>
                </c:pt>
                <c:pt idx="6">
                  <c:v>0.19774302733405172</c:v>
                </c:pt>
                <c:pt idx="7">
                  <c:v>0.26026667509171431</c:v>
                </c:pt>
                <c:pt idx="8">
                  <c:v>0.34128178171443208</c:v>
                </c:pt>
                <c:pt idx="9">
                  <c:v>0.41707688992555159</c:v>
                </c:pt>
                <c:pt idx="10">
                  <c:v>0.48178332049030054</c:v>
                </c:pt>
                <c:pt idx="11">
                  <c:v>0.54640787611475028</c:v>
                </c:pt>
                <c:pt idx="12">
                  <c:v>0.60466143761054714</c:v>
                </c:pt>
                <c:pt idx="13">
                  <c:v>0.65927453414253789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22-438B-A6DD-EFE145481D35}"/>
            </c:ext>
          </c:extLst>
        </c:ser>
        <c:ser>
          <c:idx val="1"/>
          <c:order val="1"/>
          <c:spPr>
            <a:ln w="19050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circle"/>
            <c:size val="8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Sheet1!$F$59:$F$72</c:f>
              <c:numCache>
                <c:formatCode>General</c:formatCode>
                <c:ptCount val="14"/>
                <c:pt idx="0">
                  <c:v>7.7499000000000012E-2</c:v>
                </c:pt>
                <c:pt idx="1">
                  <c:v>0.71981139620126944</c:v>
                </c:pt>
                <c:pt idx="2">
                  <c:v>1.5971442852382687</c:v>
                </c:pt>
                <c:pt idx="3">
                  <c:v>3.226341552815716</c:v>
                </c:pt>
                <c:pt idx="4">
                  <c:v>4.809920359880028</c:v>
                </c:pt>
                <c:pt idx="5">
                  <c:v>6.5151236254582159</c:v>
                </c:pt>
                <c:pt idx="6">
                  <c:v>8.0053275574808662</c:v>
                </c:pt>
                <c:pt idx="7">
                  <c:v>12.032954015328206</c:v>
                </c:pt>
                <c:pt idx="8">
                  <c:v>18.042240253248931</c:v>
                </c:pt>
                <c:pt idx="9">
                  <c:v>24.174294235255008</c:v>
                </c:pt>
                <c:pt idx="10">
                  <c:v>30.198992669110293</c:v>
                </c:pt>
                <c:pt idx="11">
                  <c:v>36.221839386871437</c:v>
                </c:pt>
                <c:pt idx="12">
                  <c:v>42.363460513162678</c:v>
                </c:pt>
                <c:pt idx="13">
                  <c:v>48.358388203932257</c:v>
                </c:pt>
              </c:numCache>
            </c:numRef>
          </c:xVal>
          <c:yVal>
            <c:numRef>
              <c:f>Sheet1!$T$59:$T$72</c:f>
              <c:numCache>
                <c:formatCode>General</c:formatCode>
                <c:ptCount val="14"/>
                <c:pt idx="0">
                  <c:v>4.8532719462809869E-2</c:v>
                </c:pt>
                <c:pt idx="1">
                  <c:v>0.14810350892556723</c:v>
                </c:pt>
                <c:pt idx="2">
                  <c:v>0.22068070372103135</c:v>
                </c:pt>
                <c:pt idx="3">
                  <c:v>0.31384830620816345</c:v>
                </c:pt>
                <c:pt idx="4">
                  <c:v>0.38342770451059316</c:v>
                </c:pt>
                <c:pt idx="5">
                  <c:v>0.4480580604464201</c:v>
                </c:pt>
                <c:pt idx="6">
                  <c:v>0.49479866077556278</c:v>
                </c:pt>
                <c:pt idx="7">
                  <c:v>0.6079757278268505</c:v>
                </c:pt>
                <c:pt idx="8">
                  <c:v>0.7460503797289314</c:v>
                </c:pt>
                <c:pt idx="9">
                  <c:v>0.86522029622127294</c:v>
                </c:pt>
                <c:pt idx="10">
                  <c:v>0.97025900152543476</c:v>
                </c:pt>
                <c:pt idx="11">
                  <c:v>1.0678054112155897</c:v>
                </c:pt>
                <c:pt idx="12">
                  <c:v>1.1603290790801011</c:v>
                </c:pt>
                <c:pt idx="13">
                  <c:v>1.2433043200415725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C22-438B-A6DD-EFE145481D35}"/>
            </c:ext>
          </c:extLst>
        </c:ser>
        <c:ser>
          <c:idx val="2"/>
          <c:order val="2"/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Sheet1!$F$59:$F$72</c:f>
              <c:numCache>
                <c:formatCode>General</c:formatCode>
                <c:ptCount val="14"/>
                <c:pt idx="0">
                  <c:v>7.7499000000000012E-2</c:v>
                </c:pt>
                <c:pt idx="1">
                  <c:v>0.71981139620126944</c:v>
                </c:pt>
                <c:pt idx="2">
                  <c:v>1.5971442852382687</c:v>
                </c:pt>
                <c:pt idx="3">
                  <c:v>3.226341552815716</c:v>
                </c:pt>
                <c:pt idx="4">
                  <c:v>4.809920359880028</c:v>
                </c:pt>
                <c:pt idx="5">
                  <c:v>6.5151236254582159</c:v>
                </c:pt>
                <c:pt idx="6">
                  <c:v>8.0053275574808662</c:v>
                </c:pt>
                <c:pt idx="7">
                  <c:v>12.032954015328206</c:v>
                </c:pt>
                <c:pt idx="8">
                  <c:v>18.042240253248931</c:v>
                </c:pt>
                <c:pt idx="9">
                  <c:v>24.174294235255008</c:v>
                </c:pt>
                <c:pt idx="10">
                  <c:v>30.198992669110293</c:v>
                </c:pt>
                <c:pt idx="11">
                  <c:v>36.221839386871437</c:v>
                </c:pt>
                <c:pt idx="12">
                  <c:v>42.363460513162678</c:v>
                </c:pt>
                <c:pt idx="13">
                  <c:v>48.358388203932257</c:v>
                </c:pt>
              </c:numCache>
            </c:numRef>
          </c:xVal>
          <c:yVal>
            <c:numRef>
              <c:f>Sheet1!$BH$59:$BH$72</c:f>
              <c:numCache>
                <c:formatCode>General</c:formatCode>
                <c:ptCount val="14"/>
                <c:pt idx="0">
                  <c:v>7.9385632344262935E-3</c:v>
                </c:pt>
                <c:pt idx="1">
                  <c:v>3.6776964324477961E-2</c:v>
                </c:pt>
                <c:pt idx="2">
                  <c:v>6.3631998629199493E-2</c:v>
                </c:pt>
                <c:pt idx="3">
                  <c:v>0.10321360951804909</c:v>
                </c:pt>
                <c:pt idx="4">
                  <c:v>0.13584315940749109</c:v>
                </c:pt>
                <c:pt idx="5">
                  <c:v>0.16737574406615591</c:v>
                </c:pt>
                <c:pt idx="6">
                  <c:v>0.19285442575902348</c:v>
                </c:pt>
                <c:pt idx="7">
                  <c:v>0.25526025445433514</c:v>
                </c:pt>
                <c:pt idx="8">
                  <c:v>0.33728523567077401</c:v>
                </c:pt>
                <c:pt idx="9">
                  <c:v>0.41248124245978063</c:v>
                </c:pt>
                <c:pt idx="10">
                  <c:v>0.48070864574981359</c:v>
                </c:pt>
                <c:pt idx="11">
                  <c:v>0.54476717285089904</c:v>
                </c:pt>
                <c:pt idx="12">
                  <c:v>0.60673985868689029</c:v>
                </c:pt>
                <c:pt idx="13">
                  <c:v>0.66457390647396442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C22-438B-A6DD-EFE145481D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8346152"/>
        <c:axId val="268346544"/>
      </c:scatterChart>
      <c:valAx>
        <c:axId val="268346152"/>
        <c:scaling>
          <c:orientation val="minMax"/>
          <c:max val="50"/>
        </c:scaling>
        <c:delete val="0"/>
        <c:axPos val="b"/>
        <c:majorGridlines>
          <c:spPr>
            <a:ln w="9525" cap="flat" cmpd="sng" algn="ctr">
              <a:solidFill>
                <a:schemeClr val="bg1">
                  <a:lumMod val="50000"/>
                </a:schemeClr>
              </a:solidFill>
              <a:prstDash val="dash"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3200">
                    <a:solidFill>
                      <a:sysClr val="windowText" lastClr="000000"/>
                    </a:solidFill>
                  </a:rPr>
                  <a:t>Normal Load, </a:t>
                </a:r>
                <a:r>
                  <a:rPr lang="en-GB" sz="3200" i="1">
                    <a:solidFill>
                      <a:sysClr val="windowText" lastClr="000000"/>
                    </a:solidFill>
                  </a:rPr>
                  <a:t>W</a:t>
                </a:r>
                <a:r>
                  <a:rPr lang="en-GB" sz="3200">
                    <a:solidFill>
                      <a:sysClr val="windowText" lastClr="000000"/>
                    </a:solidFill>
                  </a:rPr>
                  <a:t> (N)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out"/>
        <c:tickLblPos val="nextTo"/>
        <c:spPr>
          <a:noFill/>
          <a:ln w="285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8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8346544"/>
        <c:crosses val="autoZero"/>
        <c:crossBetween val="midCat"/>
      </c:valAx>
      <c:valAx>
        <c:axId val="268346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50000"/>
                </a:schemeClr>
              </a:solidFill>
              <a:prstDash val="dash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32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3200">
                    <a:solidFill>
                      <a:sysClr val="windowText" lastClr="000000"/>
                    </a:solidFill>
                  </a:rPr>
                  <a:t>Real Contact Area, </a:t>
                </a:r>
                <a:r>
                  <a:rPr lang="en-GB" sz="3200" i="1">
                    <a:solidFill>
                      <a:sysClr val="windowText" lastClr="000000"/>
                    </a:solidFill>
                  </a:rPr>
                  <a:t>A</a:t>
                </a:r>
                <a:r>
                  <a:rPr lang="en-GB" sz="3200">
                    <a:solidFill>
                      <a:sysClr val="windowText" lastClr="000000"/>
                    </a:solidFill>
                  </a:rPr>
                  <a:t> (mm</a:t>
                </a:r>
                <a:r>
                  <a:rPr lang="en-GB" sz="3200" baseline="30000">
                    <a:solidFill>
                      <a:sysClr val="windowText" lastClr="000000"/>
                    </a:solidFill>
                  </a:rPr>
                  <a:t>2</a:t>
                </a:r>
                <a:r>
                  <a:rPr lang="en-GB" sz="3200">
                    <a:solidFill>
                      <a:sysClr val="windowText" lastClr="000000"/>
                    </a:solidFill>
                  </a:rPr>
                  <a:t>)</a:t>
                </a:r>
              </a:p>
            </c:rich>
          </c:tx>
          <c:layout>
            <c:manualLayout>
              <c:xMode val="edge"/>
              <c:yMode val="edge"/>
              <c:x val="8.1927713952289691E-3"/>
              <c:y val="4.5150281908267663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32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out"/>
        <c:tickLblPos val="nextTo"/>
        <c:spPr>
          <a:noFill/>
          <a:ln w="285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8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8346152"/>
        <c:crosses val="autoZero"/>
        <c:crossBetween val="midCat"/>
      </c:valAx>
      <c:spPr>
        <a:noFill/>
        <a:ln w="12700">
          <a:solidFill>
            <a:schemeClr val="bg1">
              <a:lumMod val="50000"/>
            </a:schemeClr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7203680253120077"/>
          <c:y val="4.6148081216727685E-2"/>
          <c:w val="0.79356721222782955"/>
          <c:h val="0.7586193623460753"/>
        </c:manualLayout>
      </c:layout>
      <c:scatterChart>
        <c:scatterStyle val="smooth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8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Sheet1!$F$77:$F$90</c:f>
              <c:numCache>
                <c:formatCode>General</c:formatCode>
                <c:ptCount val="14"/>
                <c:pt idx="0">
                  <c:v>7.7499000000000012E-2</c:v>
                </c:pt>
                <c:pt idx="1">
                  <c:v>0.83145967977341328</c:v>
                </c:pt>
                <c:pt idx="2">
                  <c:v>1.7327032652449299</c:v>
                </c:pt>
                <c:pt idx="3">
                  <c:v>3.2694986667777388</c:v>
                </c:pt>
                <c:pt idx="4">
                  <c:v>4.9534240249916905</c:v>
                </c:pt>
                <c:pt idx="5">
                  <c:v>6.5127309226924339</c:v>
                </c:pt>
                <c:pt idx="6">
                  <c:v>8.1024173605464682</c:v>
                </c:pt>
                <c:pt idx="7">
                  <c:v>12.093134454848336</c:v>
                </c:pt>
                <c:pt idx="8">
                  <c:v>17.99899450149956</c:v>
                </c:pt>
                <c:pt idx="9">
                  <c:v>24.426836220926159</c:v>
                </c:pt>
                <c:pt idx="10">
                  <c:v>30.134016160946612</c:v>
                </c:pt>
                <c:pt idx="11">
                  <c:v>36.73825508130669</c:v>
                </c:pt>
                <c:pt idx="12">
                  <c:v>42.529564978007869</c:v>
                </c:pt>
                <c:pt idx="13">
                  <c:v>49.154953848383755</c:v>
                </c:pt>
              </c:numCache>
            </c:numRef>
          </c:xVal>
          <c:yVal>
            <c:numRef>
              <c:f>Sheet1!$P$77:$P$90</c:f>
              <c:numCache>
                <c:formatCode>General</c:formatCode>
                <c:ptCount val="14"/>
                <c:pt idx="0">
                  <c:v>5.3682629740925154E-3</c:v>
                </c:pt>
                <c:pt idx="1">
                  <c:v>3.077421056021163E-2</c:v>
                </c:pt>
                <c:pt idx="2">
                  <c:v>5.9117449019296504E-2</c:v>
                </c:pt>
                <c:pt idx="3">
                  <c:v>0.10188603435093563</c:v>
                </c:pt>
                <c:pt idx="4">
                  <c:v>0.14376630726359566</c:v>
                </c:pt>
                <c:pt idx="5">
                  <c:v>0.17856909875077612</c:v>
                </c:pt>
                <c:pt idx="6">
                  <c:v>0.21305505603999866</c:v>
                </c:pt>
                <c:pt idx="7">
                  <c:v>0.27658599022152586</c:v>
                </c:pt>
                <c:pt idx="8">
                  <c:v>0.36212415078590904</c:v>
                </c:pt>
                <c:pt idx="9">
                  <c:v>0.44619668429497367</c:v>
                </c:pt>
                <c:pt idx="10">
                  <c:v>0.51557694257320175</c:v>
                </c:pt>
                <c:pt idx="11">
                  <c:v>0.59274297929123787</c:v>
                </c:pt>
                <c:pt idx="12">
                  <c:v>0.66055544198975202</c:v>
                </c:pt>
                <c:pt idx="13">
                  <c:v>0.73165789119229696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21D-4074-B3DC-958C7BAD1974}"/>
            </c:ext>
          </c:extLst>
        </c:ser>
        <c:ser>
          <c:idx val="1"/>
          <c:order val="1"/>
          <c:spPr>
            <a:ln w="19050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circle"/>
            <c:size val="8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Sheet1!$F$77:$F$90</c:f>
              <c:numCache>
                <c:formatCode>General</c:formatCode>
                <c:ptCount val="14"/>
                <c:pt idx="0">
                  <c:v>7.7499000000000012E-2</c:v>
                </c:pt>
                <c:pt idx="1">
                  <c:v>0.83145967977341328</c:v>
                </c:pt>
                <c:pt idx="2">
                  <c:v>1.7327032652449299</c:v>
                </c:pt>
                <c:pt idx="3">
                  <c:v>3.2694986667777388</c:v>
                </c:pt>
                <c:pt idx="4">
                  <c:v>4.9534240249916905</c:v>
                </c:pt>
                <c:pt idx="5">
                  <c:v>6.5127309226924339</c:v>
                </c:pt>
                <c:pt idx="6">
                  <c:v>8.1024173605464682</c:v>
                </c:pt>
                <c:pt idx="7">
                  <c:v>12.093134454848336</c:v>
                </c:pt>
                <c:pt idx="8">
                  <c:v>17.99899450149956</c:v>
                </c:pt>
                <c:pt idx="9">
                  <c:v>24.426836220926159</c:v>
                </c:pt>
                <c:pt idx="10">
                  <c:v>30.134016160946612</c:v>
                </c:pt>
                <c:pt idx="11">
                  <c:v>36.73825508130669</c:v>
                </c:pt>
                <c:pt idx="12">
                  <c:v>42.529564978007869</c:v>
                </c:pt>
                <c:pt idx="13">
                  <c:v>49.154953848383755</c:v>
                </c:pt>
              </c:numCache>
            </c:numRef>
          </c:xVal>
          <c:yVal>
            <c:numRef>
              <c:f>Sheet1!$T$77:$T$90</c:f>
              <c:numCache>
                <c:formatCode>General</c:formatCode>
                <c:ptCount val="14"/>
                <c:pt idx="0">
                  <c:v>4.7136585906013051E-2</c:v>
                </c:pt>
                <c:pt idx="1">
                  <c:v>0.15481468941480606</c:v>
                </c:pt>
                <c:pt idx="2">
                  <c:v>0.22424113172601043</c:v>
                </c:pt>
                <c:pt idx="3">
                  <c:v>0.30885952648167042</c:v>
                </c:pt>
                <c:pt idx="4">
                  <c:v>0.38174283440769247</c:v>
                </c:pt>
                <c:pt idx="5">
                  <c:v>0.43957132325926573</c:v>
                </c:pt>
                <c:pt idx="6">
                  <c:v>0.49181951195050566</c:v>
                </c:pt>
                <c:pt idx="7">
                  <c:v>0.60312824409409227</c:v>
                </c:pt>
                <c:pt idx="8">
                  <c:v>0.73853529074505786</c:v>
                </c:pt>
                <c:pt idx="9">
                  <c:v>0.86375231681556686</c:v>
                </c:pt>
                <c:pt idx="10">
                  <c:v>0.96321725714931739</c:v>
                </c:pt>
                <c:pt idx="11">
                  <c:v>1.0670098460125781</c:v>
                </c:pt>
                <c:pt idx="12">
                  <c:v>1.1525177080542712</c:v>
                </c:pt>
                <c:pt idx="13">
                  <c:v>1.2422031576905161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21D-4074-B3DC-958C7BAD1974}"/>
            </c:ext>
          </c:extLst>
        </c:ser>
        <c:ser>
          <c:idx val="2"/>
          <c:order val="2"/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Sheet1!$F$77:$F$90</c:f>
              <c:numCache>
                <c:formatCode>General</c:formatCode>
                <c:ptCount val="14"/>
                <c:pt idx="0">
                  <c:v>7.7499000000000012E-2</c:v>
                </c:pt>
                <c:pt idx="1">
                  <c:v>0.83145967977341328</c:v>
                </c:pt>
                <c:pt idx="2">
                  <c:v>1.7327032652449299</c:v>
                </c:pt>
                <c:pt idx="3">
                  <c:v>3.2694986667777388</c:v>
                </c:pt>
                <c:pt idx="4">
                  <c:v>4.9534240249916905</c:v>
                </c:pt>
                <c:pt idx="5">
                  <c:v>6.5127309226924339</c:v>
                </c:pt>
                <c:pt idx="6">
                  <c:v>8.1024173605464682</c:v>
                </c:pt>
                <c:pt idx="7">
                  <c:v>12.093134454848336</c:v>
                </c:pt>
                <c:pt idx="8">
                  <c:v>17.99899450149956</c:v>
                </c:pt>
                <c:pt idx="9">
                  <c:v>24.426836220926159</c:v>
                </c:pt>
                <c:pt idx="10">
                  <c:v>30.134016160946612</c:v>
                </c:pt>
                <c:pt idx="11">
                  <c:v>36.73825508130669</c:v>
                </c:pt>
                <c:pt idx="12">
                  <c:v>42.529564978007869</c:v>
                </c:pt>
                <c:pt idx="13">
                  <c:v>49.154953848383755</c:v>
                </c:pt>
              </c:numCache>
            </c:numRef>
          </c:xVal>
          <c:yVal>
            <c:numRef>
              <c:f>Sheet1!$BH$77:$BH$90</c:f>
              <c:numCache>
                <c:formatCode>General</c:formatCode>
                <c:ptCount val="14"/>
                <c:pt idx="0">
                  <c:v>7.654506585194348E-3</c:v>
                </c:pt>
                <c:pt idx="1">
                  <c:v>4.0945239867641127E-2</c:v>
                </c:pt>
                <c:pt idx="2">
                  <c:v>6.879518388820105E-2</c:v>
                </c:pt>
                <c:pt idx="3">
                  <c:v>0.10775451763236539</c:v>
                </c:pt>
                <c:pt idx="4">
                  <c:v>0.14452446465072474</c:v>
                </c:pt>
                <c:pt idx="5">
                  <c:v>0.17536303608812595</c:v>
                </c:pt>
                <c:pt idx="6">
                  <c:v>0.20463013610521888</c:v>
                </c:pt>
                <c:pt idx="7">
                  <c:v>0.27157005212381718</c:v>
                </c:pt>
                <c:pt idx="8">
                  <c:v>0.35969597850669616</c:v>
                </c:pt>
                <c:pt idx="9">
                  <c:v>0.44633137094048564</c:v>
                </c:pt>
                <c:pt idx="10">
                  <c:v>0.51772750951858748</c:v>
                </c:pt>
                <c:pt idx="11">
                  <c:v>0.5955536763141398</c:v>
                </c:pt>
                <c:pt idx="12">
                  <c:v>0.66046154435670745</c:v>
                </c:pt>
                <c:pt idx="13">
                  <c:v>0.73161441504234404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21D-4074-B3DC-958C7BAD19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7951272"/>
        <c:axId val="277951664"/>
      </c:scatterChart>
      <c:valAx>
        <c:axId val="277951272"/>
        <c:scaling>
          <c:orientation val="minMax"/>
          <c:max val="50"/>
        </c:scaling>
        <c:delete val="0"/>
        <c:axPos val="b"/>
        <c:majorGridlines>
          <c:spPr>
            <a:ln w="9525" cap="flat" cmpd="sng" algn="ctr">
              <a:solidFill>
                <a:schemeClr val="bg1">
                  <a:lumMod val="50000"/>
                </a:schemeClr>
              </a:solidFill>
              <a:prstDash val="dash"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3200">
                    <a:solidFill>
                      <a:sysClr val="windowText" lastClr="000000"/>
                    </a:solidFill>
                  </a:rPr>
                  <a:t>Normal Load, </a:t>
                </a:r>
                <a:r>
                  <a:rPr lang="en-GB" sz="3200" i="1">
                    <a:solidFill>
                      <a:sysClr val="windowText" lastClr="000000"/>
                    </a:solidFill>
                  </a:rPr>
                  <a:t>W</a:t>
                </a:r>
                <a:r>
                  <a:rPr lang="en-GB" sz="3200">
                    <a:solidFill>
                      <a:sysClr val="windowText" lastClr="000000"/>
                    </a:solidFill>
                  </a:rPr>
                  <a:t> (N)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out"/>
        <c:tickLblPos val="nextTo"/>
        <c:spPr>
          <a:noFill/>
          <a:ln w="285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8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7951664"/>
        <c:crosses val="autoZero"/>
        <c:crossBetween val="midCat"/>
      </c:valAx>
      <c:valAx>
        <c:axId val="277951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50000"/>
                </a:schemeClr>
              </a:solidFill>
              <a:prstDash val="dash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32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3200">
                    <a:solidFill>
                      <a:sysClr val="windowText" lastClr="000000"/>
                    </a:solidFill>
                  </a:rPr>
                  <a:t>Real Contact Area, </a:t>
                </a:r>
                <a:r>
                  <a:rPr lang="en-GB" sz="3200" i="1">
                    <a:solidFill>
                      <a:sysClr val="windowText" lastClr="000000"/>
                    </a:solidFill>
                  </a:rPr>
                  <a:t>A</a:t>
                </a:r>
                <a:r>
                  <a:rPr lang="en-GB" sz="3200">
                    <a:solidFill>
                      <a:sysClr val="windowText" lastClr="000000"/>
                    </a:solidFill>
                  </a:rPr>
                  <a:t> (mm</a:t>
                </a:r>
                <a:r>
                  <a:rPr lang="en-GB" sz="3200" baseline="30000">
                    <a:solidFill>
                      <a:sysClr val="windowText" lastClr="000000"/>
                    </a:solidFill>
                  </a:rPr>
                  <a:t>2</a:t>
                </a:r>
                <a:r>
                  <a:rPr lang="en-GB" sz="3200">
                    <a:solidFill>
                      <a:sysClr val="windowText" lastClr="000000"/>
                    </a:solidFill>
                  </a:rPr>
                  <a:t>)</a:t>
                </a:r>
              </a:p>
            </c:rich>
          </c:tx>
          <c:layout>
            <c:manualLayout>
              <c:xMode val="edge"/>
              <c:yMode val="edge"/>
              <c:x val="8.1927713952289691E-3"/>
              <c:y val="4.5150281908267663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32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out"/>
        <c:tickLblPos val="nextTo"/>
        <c:spPr>
          <a:noFill/>
          <a:ln w="285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8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7951272"/>
        <c:crosses val="autoZero"/>
        <c:crossBetween val="midCat"/>
      </c:valAx>
      <c:spPr>
        <a:noFill/>
        <a:ln w="12700">
          <a:solidFill>
            <a:schemeClr val="bg1">
              <a:lumMod val="50000"/>
            </a:schemeClr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7203680253120077"/>
          <c:y val="4.6148081216727685E-2"/>
          <c:w val="0.79356721222782955"/>
          <c:h val="0.7586193623460753"/>
        </c:manualLayout>
      </c:layout>
      <c:scatterChart>
        <c:scatterStyle val="smooth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8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Sheet1!$F$95:$F$108</c:f>
              <c:numCache>
                <c:formatCode>General</c:formatCode>
                <c:ptCount val="14"/>
                <c:pt idx="0">
                  <c:v>7.7499000000000012E-2</c:v>
                </c:pt>
                <c:pt idx="1">
                  <c:v>0.91880889670109234</c:v>
                </c:pt>
                <c:pt idx="2">
                  <c:v>1.7521607794068705</c:v>
                </c:pt>
                <c:pt idx="3">
                  <c:v>3.3500491499499927</c:v>
                </c:pt>
                <c:pt idx="4">
                  <c:v>4.9319678437187813</c:v>
                </c:pt>
                <c:pt idx="5">
                  <c:v>6.5627989000333553</c:v>
                </c:pt>
                <c:pt idx="6">
                  <c:v>8.1248018990336472</c:v>
                </c:pt>
                <c:pt idx="7">
                  <c:v>12.156356047650752</c:v>
                </c:pt>
                <c:pt idx="8">
                  <c:v>18.233004831389479</c:v>
                </c:pt>
                <c:pt idx="9">
                  <c:v>24.577171442519063</c:v>
                </c:pt>
                <c:pt idx="10">
                  <c:v>30.194504331556395</c:v>
                </c:pt>
                <c:pt idx="11">
                  <c:v>36.177198100299194</c:v>
                </c:pt>
                <c:pt idx="12">
                  <c:v>42.051104464845068</c:v>
                </c:pt>
                <c:pt idx="13">
                  <c:v>48.095544651449302</c:v>
                </c:pt>
              </c:numCache>
            </c:numRef>
          </c:xVal>
          <c:yVal>
            <c:numRef>
              <c:f>Sheet1!$P$95:$P$108</c:f>
              <c:numCache>
                <c:formatCode>General</c:formatCode>
                <c:ptCount val="14"/>
                <c:pt idx="0">
                  <c:v>6.3364462312497207E-3</c:v>
                </c:pt>
                <c:pt idx="1">
                  <c:v>3.607575768226428E-2</c:v>
                </c:pt>
                <c:pt idx="2">
                  <c:v>6.1206655610739936E-2</c:v>
                </c:pt>
                <c:pt idx="3">
                  <c:v>0.10273076642081957</c:v>
                </c:pt>
                <c:pt idx="4">
                  <c:v>0.14503693129071968</c:v>
                </c:pt>
                <c:pt idx="5">
                  <c:v>0.17942409299794826</c:v>
                </c:pt>
                <c:pt idx="6">
                  <c:v>0.21146369300197235</c:v>
                </c:pt>
                <c:pt idx="7">
                  <c:v>0.27467018834483647</c:v>
                </c:pt>
                <c:pt idx="8">
                  <c:v>0.36003028873681958</c:v>
                </c:pt>
                <c:pt idx="9">
                  <c:v>0.43872843620285285</c:v>
                </c:pt>
                <c:pt idx="10">
                  <c:v>0.50911020813414776</c:v>
                </c:pt>
                <c:pt idx="11">
                  <c:v>0.57944707802874273</c:v>
                </c:pt>
                <c:pt idx="12">
                  <c:v>0.64523028875339872</c:v>
                </c:pt>
                <c:pt idx="13">
                  <c:v>0.71234668374282717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CA5-46A0-9C1E-D451E21111B9}"/>
            </c:ext>
          </c:extLst>
        </c:ser>
        <c:ser>
          <c:idx val="1"/>
          <c:order val="1"/>
          <c:spPr>
            <a:ln w="19050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circle"/>
            <c:size val="8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Sheet1!$F$95:$F$108</c:f>
              <c:numCache>
                <c:formatCode>General</c:formatCode>
                <c:ptCount val="14"/>
                <c:pt idx="0">
                  <c:v>7.7499000000000012E-2</c:v>
                </c:pt>
                <c:pt idx="1">
                  <c:v>0.91880889670109234</c:v>
                </c:pt>
                <c:pt idx="2">
                  <c:v>1.7521607794068705</c:v>
                </c:pt>
                <c:pt idx="3">
                  <c:v>3.3500491499499927</c:v>
                </c:pt>
                <c:pt idx="4">
                  <c:v>4.9319678437187813</c:v>
                </c:pt>
                <c:pt idx="5">
                  <c:v>6.5627989000333553</c:v>
                </c:pt>
                <c:pt idx="6">
                  <c:v>8.1248018990336472</c:v>
                </c:pt>
                <c:pt idx="7">
                  <c:v>12.156356047650752</c:v>
                </c:pt>
                <c:pt idx="8">
                  <c:v>18.233004831389479</c:v>
                </c:pt>
                <c:pt idx="9">
                  <c:v>24.577171442519063</c:v>
                </c:pt>
                <c:pt idx="10">
                  <c:v>30.194504331556395</c:v>
                </c:pt>
                <c:pt idx="11">
                  <c:v>36.177198100299194</c:v>
                </c:pt>
                <c:pt idx="12">
                  <c:v>42.051104464845068</c:v>
                </c:pt>
                <c:pt idx="13">
                  <c:v>48.095544651449302</c:v>
                </c:pt>
              </c:numCache>
            </c:numRef>
          </c:xVal>
          <c:yVal>
            <c:numRef>
              <c:f>Sheet1!$T$95:$T$108</c:f>
              <c:numCache>
                <c:formatCode>General</c:formatCode>
                <c:ptCount val="14"/>
                <c:pt idx="0">
                  <c:v>4.8720592993606676E-2</c:v>
                </c:pt>
                <c:pt idx="1">
                  <c:v>0.16723154127225359</c:v>
                </c:pt>
                <c:pt idx="2">
                  <c:v>0.23213194068201376</c:v>
                </c:pt>
                <c:pt idx="3">
                  <c:v>0.32235621361094402</c:v>
                </c:pt>
                <c:pt idx="4">
                  <c:v>0.3919938231656232</c:v>
                </c:pt>
                <c:pt idx="5">
                  <c:v>0.45317723910714708</c:v>
                </c:pt>
                <c:pt idx="6">
                  <c:v>0.50548972770217404</c:v>
                </c:pt>
                <c:pt idx="7">
                  <c:v>0.61975344458478421</c:v>
                </c:pt>
                <c:pt idx="8">
                  <c:v>0.76245025457689186</c:v>
                </c:pt>
                <c:pt idx="9">
                  <c:v>0.89096621205178339</c:v>
                </c:pt>
                <c:pt idx="10">
                  <c:v>0.99046145642232775</c:v>
                </c:pt>
                <c:pt idx="11">
                  <c:v>1.0875036748224431</c:v>
                </c:pt>
                <c:pt idx="12">
                  <c:v>1.1756144648746232</c:v>
                </c:pt>
                <c:pt idx="13">
                  <c:v>1.2620225751965091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CA5-46A0-9C1E-D451E21111B9}"/>
            </c:ext>
          </c:extLst>
        </c:ser>
        <c:ser>
          <c:idx val="2"/>
          <c:order val="2"/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Sheet1!$F$95:$F$108</c:f>
              <c:numCache>
                <c:formatCode>General</c:formatCode>
                <c:ptCount val="14"/>
                <c:pt idx="0">
                  <c:v>7.7499000000000012E-2</c:v>
                </c:pt>
                <c:pt idx="1">
                  <c:v>0.91880889670109234</c:v>
                </c:pt>
                <c:pt idx="2">
                  <c:v>1.7521607794068705</c:v>
                </c:pt>
                <c:pt idx="3">
                  <c:v>3.3500491499499927</c:v>
                </c:pt>
                <c:pt idx="4">
                  <c:v>4.9319678437187813</c:v>
                </c:pt>
                <c:pt idx="5">
                  <c:v>6.5627989000333553</c:v>
                </c:pt>
                <c:pt idx="6">
                  <c:v>8.1248018990336472</c:v>
                </c:pt>
                <c:pt idx="7">
                  <c:v>12.156356047650752</c:v>
                </c:pt>
                <c:pt idx="8">
                  <c:v>18.233004831389479</c:v>
                </c:pt>
                <c:pt idx="9">
                  <c:v>24.577171442519063</c:v>
                </c:pt>
                <c:pt idx="10">
                  <c:v>30.194504331556395</c:v>
                </c:pt>
                <c:pt idx="11">
                  <c:v>36.177198100299194</c:v>
                </c:pt>
                <c:pt idx="12">
                  <c:v>42.051104464845068</c:v>
                </c:pt>
                <c:pt idx="13">
                  <c:v>48.095544651449302</c:v>
                </c:pt>
              </c:numCache>
            </c:numRef>
          </c:xVal>
          <c:yVal>
            <c:numRef>
              <c:f>Sheet1!$BH$95:$BH$108</c:f>
              <c:numCache>
                <c:formatCode>General</c:formatCode>
                <c:ptCount val="14"/>
                <c:pt idx="0">
                  <c:v>7.7186827286211731E-3</c:v>
                </c:pt>
                <c:pt idx="1">
                  <c:v>4.3915995838698728E-2</c:v>
                </c:pt>
                <c:pt idx="2">
                  <c:v>6.9141046808203571E-2</c:v>
                </c:pt>
                <c:pt idx="3">
                  <c:v>0.10905424784633129</c:v>
                </c:pt>
                <c:pt idx="4">
                  <c:v>0.1431336120654732</c:v>
                </c:pt>
                <c:pt idx="5">
                  <c:v>0.1749743733340475</c:v>
                </c:pt>
                <c:pt idx="6">
                  <c:v>0.20331455442368371</c:v>
                </c:pt>
                <c:pt idx="7">
                  <c:v>0.2699009304054808</c:v>
                </c:pt>
                <c:pt idx="8">
                  <c:v>0.35891246072539346</c:v>
                </c:pt>
                <c:pt idx="9">
                  <c:v>0.4427535796273756</c:v>
                </c:pt>
                <c:pt idx="10">
                  <c:v>0.51170117322424158</c:v>
                </c:pt>
                <c:pt idx="11">
                  <c:v>0.58105159920659877</c:v>
                </c:pt>
                <c:pt idx="12">
                  <c:v>0.64588767568511607</c:v>
                </c:pt>
                <c:pt idx="13">
                  <c:v>0.70985070991465538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CA5-46A0-9C1E-D451E21111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7951272"/>
        <c:axId val="277951664"/>
      </c:scatterChart>
      <c:valAx>
        <c:axId val="277951272"/>
        <c:scaling>
          <c:orientation val="minMax"/>
          <c:max val="50"/>
        </c:scaling>
        <c:delete val="0"/>
        <c:axPos val="b"/>
        <c:majorGridlines>
          <c:spPr>
            <a:ln w="9525" cap="flat" cmpd="sng" algn="ctr">
              <a:solidFill>
                <a:schemeClr val="bg1">
                  <a:lumMod val="50000"/>
                </a:schemeClr>
              </a:solidFill>
              <a:prstDash val="dash"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3200">
                    <a:solidFill>
                      <a:sysClr val="windowText" lastClr="000000"/>
                    </a:solidFill>
                  </a:rPr>
                  <a:t>Normal Load, </a:t>
                </a:r>
                <a:r>
                  <a:rPr lang="en-GB" sz="3200" i="1">
                    <a:solidFill>
                      <a:sysClr val="windowText" lastClr="000000"/>
                    </a:solidFill>
                  </a:rPr>
                  <a:t>W</a:t>
                </a:r>
                <a:r>
                  <a:rPr lang="en-GB" sz="3200">
                    <a:solidFill>
                      <a:sysClr val="windowText" lastClr="000000"/>
                    </a:solidFill>
                  </a:rPr>
                  <a:t> (N)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out"/>
        <c:tickLblPos val="nextTo"/>
        <c:spPr>
          <a:noFill/>
          <a:ln w="285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8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7951664"/>
        <c:crosses val="autoZero"/>
        <c:crossBetween val="midCat"/>
      </c:valAx>
      <c:valAx>
        <c:axId val="277951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50000"/>
                </a:schemeClr>
              </a:solidFill>
              <a:prstDash val="dash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32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3200">
                    <a:solidFill>
                      <a:sysClr val="windowText" lastClr="000000"/>
                    </a:solidFill>
                  </a:rPr>
                  <a:t>Real Contact Area, </a:t>
                </a:r>
                <a:r>
                  <a:rPr lang="en-GB" sz="3200" i="1">
                    <a:solidFill>
                      <a:sysClr val="windowText" lastClr="000000"/>
                    </a:solidFill>
                  </a:rPr>
                  <a:t>A</a:t>
                </a:r>
                <a:r>
                  <a:rPr lang="en-GB" sz="3200">
                    <a:solidFill>
                      <a:sysClr val="windowText" lastClr="000000"/>
                    </a:solidFill>
                  </a:rPr>
                  <a:t> (mm</a:t>
                </a:r>
                <a:r>
                  <a:rPr lang="en-GB" sz="3200" baseline="30000">
                    <a:solidFill>
                      <a:sysClr val="windowText" lastClr="000000"/>
                    </a:solidFill>
                  </a:rPr>
                  <a:t>2</a:t>
                </a:r>
                <a:r>
                  <a:rPr lang="en-GB" sz="3200">
                    <a:solidFill>
                      <a:sysClr val="windowText" lastClr="000000"/>
                    </a:solidFill>
                  </a:rPr>
                  <a:t>)</a:t>
                </a:r>
              </a:p>
            </c:rich>
          </c:tx>
          <c:layout>
            <c:manualLayout>
              <c:xMode val="edge"/>
              <c:yMode val="edge"/>
              <c:x val="8.1927713952289691E-3"/>
              <c:y val="4.5150281908267663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32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out"/>
        <c:tickLblPos val="nextTo"/>
        <c:spPr>
          <a:noFill/>
          <a:ln w="285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8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7951272"/>
        <c:crosses val="autoZero"/>
        <c:crossBetween val="midCat"/>
      </c:valAx>
      <c:spPr>
        <a:noFill/>
        <a:ln w="12700">
          <a:solidFill>
            <a:schemeClr val="bg1">
              <a:lumMod val="50000"/>
            </a:schemeClr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v>60E Test 1</c:v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Sheet1!$K$23:$K$36</c:f>
              <c:numCache>
                <c:formatCode>General</c:formatCode>
                <c:ptCount val="14"/>
                <c:pt idx="0">
                  <c:v>0.4628493643279184</c:v>
                </c:pt>
                <c:pt idx="1">
                  <c:v>5.0801546163219413</c:v>
                </c:pt>
                <c:pt idx="2">
                  <c:v>9.8488240966656573</c:v>
                </c:pt>
                <c:pt idx="3">
                  <c:v>19.588307208711075</c:v>
                </c:pt>
                <c:pt idx="4">
                  <c:v>28.576388434354985</c:v>
                </c:pt>
                <c:pt idx="5">
                  <c:v>38.383229975733947</c:v>
                </c:pt>
                <c:pt idx="6">
                  <c:v>47.455075100232456</c:v>
                </c:pt>
                <c:pt idx="7">
                  <c:v>70.308652776451126</c:v>
                </c:pt>
                <c:pt idx="8">
                  <c:v>107.34640730228219</c:v>
                </c:pt>
                <c:pt idx="9">
                  <c:v>137.97753829096681</c:v>
                </c:pt>
                <c:pt idx="10">
                  <c:v>171.97586316103556</c:v>
                </c:pt>
                <c:pt idx="11">
                  <c:v>202.30401431392465</c:v>
                </c:pt>
                <c:pt idx="12">
                  <c:v>234.37245968920024</c:v>
                </c:pt>
                <c:pt idx="13">
                  <c:v>264.72508113624326</c:v>
                </c:pt>
              </c:numCache>
            </c:numRef>
          </c:xVal>
          <c:yVal>
            <c:numRef>
              <c:f>Sheet1!$H$23:$H$36</c:f>
              <c:numCache>
                <c:formatCode>General</c:formatCode>
                <c:ptCount val="14"/>
                <c:pt idx="0">
                  <c:v>7.0500600000000002</c:v>
                </c:pt>
                <c:pt idx="1">
                  <c:v>7.0500600000000002</c:v>
                </c:pt>
                <c:pt idx="2">
                  <c:v>7.0724099999999996</c:v>
                </c:pt>
                <c:pt idx="3">
                  <c:v>7.1047799999999999</c:v>
                </c:pt>
                <c:pt idx="4">
                  <c:v>7.1402299999999999</c:v>
                </c:pt>
                <c:pt idx="5">
                  <c:v>7.1664300000000001</c:v>
                </c:pt>
                <c:pt idx="6">
                  <c:v>7.1833800000000005</c:v>
                </c:pt>
                <c:pt idx="7">
                  <c:v>7.2234600000000002</c:v>
                </c:pt>
                <c:pt idx="8">
                  <c:v>7.2706599999999995</c:v>
                </c:pt>
                <c:pt idx="9">
                  <c:v>7.3267299999999995</c:v>
                </c:pt>
                <c:pt idx="10">
                  <c:v>7.4168900000000004</c:v>
                </c:pt>
                <c:pt idx="11">
                  <c:v>7.4962799999999996</c:v>
                </c:pt>
                <c:pt idx="12">
                  <c:v>7.5664099999999994</c:v>
                </c:pt>
                <c:pt idx="13">
                  <c:v>7.6373100000000003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BA7-4083-A677-0BA8ED82CBE8}"/>
            </c:ext>
          </c:extLst>
        </c:ser>
        <c:ser>
          <c:idx val="1"/>
          <c:order val="1"/>
          <c:tx>
            <c:v>60E Test 2</c:v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Sheet1!$K$41:$K$54</c:f>
              <c:numCache>
                <c:formatCode>General</c:formatCode>
                <c:ptCount val="14"/>
                <c:pt idx="0">
                  <c:v>0.44560552534981929</c:v>
                </c:pt>
                <c:pt idx="1">
                  <c:v>4.6750499118969016</c:v>
                </c:pt>
                <c:pt idx="2">
                  <c:v>9.5901268338651864</c:v>
                </c:pt>
                <c:pt idx="3">
                  <c:v>19.083289438304309</c:v>
                </c:pt>
                <c:pt idx="4">
                  <c:v>27.98362982024701</c:v>
                </c:pt>
                <c:pt idx="5">
                  <c:v>37.672581973093465</c:v>
                </c:pt>
                <c:pt idx="6">
                  <c:v>46.590419545308833</c:v>
                </c:pt>
                <c:pt idx="7">
                  <c:v>68.790405718543553</c:v>
                </c:pt>
                <c:pt idx="8">
                  <c:v>104.19057693715669</c:v>
                </c:pt>
                <c:pt idx="9">
                  <c:v>137.16128370928922</c:v>
                </c:pt>
                <c:pt idx="10">
                  <c:v>169.05270499776324</c:v>
                </c:pt>
                <c:pt idx="11">
                  <c:v>203.72543383383302</c:v>
                </c:pt>
                <c:pt idx="12">
                  <c:v>237.18170482670754</c:v>
                </c:pt>
                <c:pt idx="13">
                  <c:v>267.81436805287501</c:v>
                </c:pt>
              </c:numCache>
            </c:numRef>
          </c:xVal>
          <c:yVal>
            <c:numRef>
              <c:f>Sheet1!$H$41:$H$54</c:f>
              <c:numCache>
                <c:formatCode>General</c:formatCode>
                <c:ptCount val="14"/>
                <c:pt idx="0">
                  <c:v>7.3228800000000005</c:v>
                </c:pt>
                <c:pt idx="1">
                  <c:v>7.3243199999999993</c:v>
                </c:pt>
                <c:pt idx="2">
                  <c:v>7.3074599999999998</c:v>
                </c:pt>
                <c:pt idx="3">
                  <c:v>7.3059200000000004</c:v>
                </c:pt>
                <c:pt idx="4">
                  <c:v>7.3782700000000006</c:v>
                </c:pt>
                <c:pt idx="5">
                  <c:v>7.3244199999999999</c:v>
                </c:pt>
                <c:pt idx="6">
                  <c:v>7.3467700000000002</c:v>
                </c:pt>
                <c:pt idx="7">
                  <c:v>7.3698900000000007</c:v>
                </c:pt>
                <c:pt idx="8">
                  <c:v>7.3983999999999996</c:v>
                </c:pt>
                <c:pt idx="9">
                  <c:v>7.4338500000000005</c:v>
                </c:pt>
                <c:pt idx="10">
                  <c:v>7.4808599999999998</c:v>
                </c:pt>
                <c:pt idx="11">
                  <c:v>7.5072600000000005</c:v>
                </c:pt>
                <c:pt idx="12">
                  <c:v>7.53789</c:v>
                </c:pt>
                <c:pt idx="13">
                  <c:v>7.5656400000000001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BA7-4083-A677-0BA8ED82CBE8}"/>
            </c:ext>
          </c:extLst>
        </c:ser>
        <c:ser>
          <c:idx val="2"/>
          <c:order val="2"/>
          <c:tx>
            <c:v>60E Test 3</c:v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Sheet1!$K$59:$K$72</c:f>
              <c:numCache>
                <c:formatCode>General</c:formatCode>
                <c:ptCount val="14"/>
                <c:pt idx="0">
                  <c:v>0.44462312468813231</c:v>
                </c:pt>
                <c:pt idx="1">
                  <c:v>4.1188487416446504</c:v>
                </c:pt>
                <c:pt idx="2">
                  <c:v>9.133320263085448</c:v>
                </c:pt>
                <c:pt idx="3">
                  <c:v>18.426812130256607</c:v>
                </c:pt>
                <c:pt idx="4">
                  <c:v>27.439607532268621</c:v>
                </c:pt>
                <c:pt idx="5">
                  <c:v>36.867682265507021</c:v>
                </c:pt>
                <c:pt idx="6">
                  <c:v>45.642590562766316</c:v>
                </c:pt>
                <c:pt idx="7">
                  <c:v>68.303213189888496</c:v>
                </c:pt>
                <c:pt idx="8">
                  <c:v>101.9796964827389</c:v>
                </c:pt>
                <c:pt idx="9">
                  <c:v>136.12043045861682</c:v>
                </c:pt>
                <c:pt idx="10">
                  <c:v>168.91905979765139</c:v>
                </c:pt>
                <c:pt idx="11">
                  <c:v>200.64385785459868</c:v>
                </c:pt>
                <c:pt idx="12">
                  <c:v>232.4286224765805</c:v>
                </c:pt>
                <c:pt idx="13">
                  <c:v>263.78971126614084</c:v>
                </c:pt>
              </c:numCache>
            </c:numRef>
          </c:xVal>
          <c:yVal>
            <c:numRef>
              <c:f>Sheet1!$H$59:$H$72</c:f>
              <c:numCache>
                <c:formatCode>General</c:formatCode>
                <c:ptCount val="14"/>
                <c:pt idx="0">
                  <c:v>7.3390600000000008</c:v>
                </c:pt>
                <c:pt idx="1">
                  <c:v>7.3583299999999996</c:v>
                </c:pt>
                <c:pt idx="2">
                  <c:v>7.3629499999999997</c:v>
                </c:pt>
                <c:pt idx="3">
                  <c:v>7.3721899999999998</c:v>
                </c:pt>
                <c:pt idx="4">
                  <c:v>7.3806799999999999</c:v>
                </c:pt>
                <c:pt idx="5">
                  <c:v>7.44069</c:v>
                </c:pt>
                <c:pt idx="6">
                  <c:v>7.3849099999999996</c:v>
                </c:pt>
                <c:pt idx="7">
                  <c:v>7.4176700000000002</c:v>
                </c:pt>
                <c:pt idx="8">
                  <c:v>7.4492600000000007</c:v>
                </c:pt>
                <c:pt idx="9">
                  <c:v>7.4776800000000003</c:v>
                </c:pt>
                <c:pt idx="10">
                  <c:v>7.5274899999999993</c:v>
                </c:pt>
                <c:pt idx="11">
                  <c:v>7.6011800000000003</c:v>
                </c:pt>
                <c:pt idx="12">
                  <c:v>7.6742900000000001</c:v>
                </c:pt>
                <c:pt idx="13">
                  <c:v>7.7188100000000004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BA7-4083-A677-0BA8ED82CBE8}"/>
            </c:ext>
          </c:extLst>
        </c:ser>
        <c:ser>
          <c:idx val="3"/>
          <c:order val="3"/>
          <c:tx>
            <c:v>60E Test 4</c:v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Sheet1!$K$77:$K$90</c:f>
              <c:numCache>
                <c:formatCode>General</c:formatCode>
                <c:ptCount val="14"/>
                <c:pt idx="0">
                  <c:v>0.47135167386361543</c:v>
                </c:pt>
                <c:pt idx="1">
                  <c:v>5.0295271744401333</c:v>
                </c:pt>
                <c:pt idx="2">
                  <c:v>10.41086794293699</c:v>
                </c:pt>
                <c:pt idx="3">
                  <c:v>19.539319298590677</c:v>
                </c:pt>
                <c:pt idx="4">
                  <c:v>29.358801874562854</c:v>
                </c:pt>
                <c:pt idx="5">
                  <c:v>38.27689225983422</c:v>
                </c:pt>
                <c:pt idx="6">
                  <c:v>47.324585047331453</c:v>
                </c:pt>
                <c:pt idx="7">
                  <c:v>70.10153584072664</c:v>
                </c:pt>
                <c:pt idx="8">
                  <c:v>103.5674029943559</c:v>
                </c:pt>
                <c:pt idx="9">
                  <c:v>139.45211126857433</c:v>
                </c:pt>
                <c:pt idx="10">
                  <c:v>170.66113405404849</c:v>
                </c:pt>
                <c:pt idx="11">
                  <c:v>206.71371867273919</c:v>
                </c:pt>
                <c:pt idx="12">
                  <c:v>237.44103156430813</c:v>
                </c:pt>
                <c:pt idx="13">
                  <c:v>273.03506826929458</c:v>
                </c:pt>
              </c:numCache>
            </c:numRef>
          </c:xVal>
          <c:yVal>
            <c:numRef>
              <c:f>Sheet1!$H$77:$H$90</c:f>
              <c:numCache>
                <c:formatCode>General</c:formatCode>
                <c:ptCount val="14"/>
                <c:pt idx="0">
                  <c:v>6.9228900000000007</c:v>
                </c:pt>
                <c:pt idx="1">
                  <c:v>6.9606599999999998</c:v>
                </c:pt>
                <c:pt idx="2">
                  <c:v>7.0076700000000001</c:v>
                </c:pt>
                <c:pt idx="3">
                  <c:v>7.0454399999999993</c:v>
                </c:pt>
                <c:pt idx="4">
                  <c:v>7.1040100000000006</c:v>
                </c:pt>
                <c:pt idx="5">
                  <c:v>7.1641199999999996</c:v>
                </c:pt>
                <c:pt idx="6">
                  <c:v>7.2088199999999993</c:v>
                </c:pt>
                <c:pt idx="7">
                  <c:v>7.2635299999999994</c:v>
                </c:pt>
                <c:pt idx="8">
                  <c:v>7.3174799999999998</c:v>
                </c:pt>
                <c:pt idx="9">
                  <c:v>7.3752800000000001</c:v>
                </c:pt>
                <c:pt idx="10">
                  <c:v>7.4346199999999998</c:v>
                </c:pt>
                <c:pt idx="11">
                  <c:v>7.4831700000000003</c:v>
                </c:pt>
                <c:pt idx="12">
                  <c:v>7.5417399999999999</c:v>
                </c:pt>
                <c:pt idx="13">
                  <c:v>7.5802800000000001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6BA7-4083-A677-0BA8ED82CBE8}"/>
            </c:ext>
          </c:extLst>
        </c:ser>
        <c:ser>
          <c:idx val="4"/>
          <c:order val="4"/>
          <c:tx>
            <c:v>60E Test 5</c:v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Sheet1!$K$95:$K$108</c:f>
              <c:numCache>
                <c:formatCode>General</c:formatCode>
                <c:ptCount val="14"/>
                <c:pt idx="0">
                  <c:v>0.44120067624127202</c:v>
                </c:pt>
                <c:pt idx="1">
                  <c:v>5.2636027112681774</c:v>
                </c:pt>
                <c:pt idx="2">
                  <c:v>9.9345273199627577</c:v>
                </c:pt>
                <c:pt idx="3">
                  <c:v>18.832126771239142</c:v>
                </c:pt>
                <c:pt idx="4">
                  <c:v>27.60267224218974</c:v>
                </c:pt>
                <c:pt idx="5">
                  <c:v>36.568834422025141</c:v>
                </c:pt>
                <c:pt idx="6">
                  <c:v>45.047427567874564</c:v>
                </c:pt>
                <c:pt idx="7">
                  <c:v>67.086946947074551</c:v>
                </c:pt>
                <c:pt idx="8">
                  <c:v>99.715476711766286</c:v>
                </c:pt>
                <c:pt idx="9">
                  <c:v>132.68151808537138</c:v>
                </c:pt>
                <c:pt idx="10">
                  <c:v>162.05026783912265</c:v>
                </c:pt>
                <c:pt idx="11">
                  <c:v>192.96453308846876</c:v>
                </c:pt>
                <c:pt idx="12">
                  <c:v>223.09717710483611</c:v>
                </c:pt>
                <c:pt idx="13">
                  <c:v>253.24714051147129</c:v>
                </c:pt>
              </c:numCache>
            </c:numRef>
          </c:xVal>
          <c:yVal>
            <c:numRef>
              <c:f>Sheet1!$H$95:$H$108</c:f>
              <c:numCache>
                <c:formatCode>General</c:formatCode>
                <c:ptCount val="14"/>
                <c:pt idx="0">
                  <c:v>7.3959899999999994</c:v>
                </c:pt>
                <c:pt idx="1">
                  <c:v>7.34985</c:v>
                </c:pt>
                <c:pt idx="2">
                  <c:v>7.4261400000000002</c:v>
                </c:pt>
                <c:pt idx="3">
                  <c:v>7.4901099999999996</c:v>
                </c:pt>
                <c:pt idx="4">
                  <c:v>7.52325</c:v>
                </c:pt>
                <c:pt idx="5">
                  <c:v>7.5563900000000004</c:v>
                </c:pt>
                <c:pt idx="6">
                  <c:v>7.59415</c:v>
                </c:pt>
                <c:pt idx="7">
                  <c:v>7.6295999999999999</c:v>
                </c:pt>
                <c:pt idx="8">
                  <c:v>7.6989600000000005</c:v>
                </c:pt>
                <c:pt idx="9">
                  <c:v>7.7993399999999999</c:v>
                </c:pt>
                <c:pt idx="10">
                  <c:v>7.8453900000000001</c:v>
                </c:pt>
                <c:pt idx="11">
                  <c:v>7.8939399999999997</c:v>
                </c:pt>
                <c:pt idx="12">
                  <c:v>7.9363299999999999</c:v>
                </c:pt>
                <c:pt idx="13">
                  <c:v>7.9964399999999998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6BA7-4083-A677-0BA8ED82CBE8}"/>
            </c:ext>
          </c:extLst>
        </c:ser>
        <c:ser>
          <c:idx val="5"/>
          <c:order val="5"/>
          <c:tx>
            <c:v>50C Test 1</c:v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Sheet1!$K$121:$K$134</c:f>
              <c:numCache>
                <c:formatCode>General</c:formatCode>
                <c:ptCount val="14"/>
                <c:pt idx="0">
                  <c:v>0.59401631975506286</c:v>
                </c:pt>
                <c:pt idx="1">
                  <c:v>6.2356976877164803</c:v>
                </c:pt>
                <c:pt idx="2">
                  <c:v>12.074915968539466</c:v>
                </c:pt>
                <c:pt idx="3">
                  <c:v>24.62333635805658</c:v>
                </c:pt>
                <c:pt idx="4">
                  <c:v>36.429408077818529</c:v>
                </c:pt>
                <c:pt idx="5">
                  <c:v>49.235368783822111</c:v>
                </c:pt>
                <c:pt idx="6">
                  <c:v>59.872154153372804</c:v>
                </c:pt>
                <c:pt idx="7">
                  <c:v>88.445867802989966</c:v>
                </c:pt>
                <c:pt idx="8">
                  <c:v>131.38043807556113</c:v>
                </c:pt>
                <c:pt idx="9">
                  <c:v>173.0453833196585</c:v>
                </c:pt>
                <c:pt idx="10">
                  <c:v>212.21527959317405</c:v>
                </c:pt>
                <c:pt idx="11">
                  <c:v>249.48331644107225</c:v>
                </c:pt>
                <c:pt idx="12">
                  <c:v>287.16125475017941</c:v>
                </c:pt>
                <c:pt idx="13">
                  <c:v>321.81450049798929</c:v>
                </c:pt>
              </c:numCache>
            </c:numRef>
          </c:xVal>
          <c:yVal>
            <c:numRef>
              <c:f>Sheet1!$H$121:$H$134</c:f>
              <c:numCache>
                <c:formatCode>General</c:formatCode>
                <c:ptCount val="14"/>
                <c:pt idx="0">
                  <c:v>5.4933100000000001</c:v>
                </c:pt>
                <c:pt idx="1">
                  <c:v>5.4858900000000004</c:v>
                </c:pt>
                <c:pt idx="2">
                  <c:v>5.5017899999999997</c:v>
                </c:pt>
                <c:pt idx="3">
                  <c:v>5.5240400000000003</c:v>
                </c:pt>
                <c:pt idx="4">
                  <c:v>5.5696099999999999</c:v>
                </c:pt>
                <c:pt idx="5">
                  <c:v>5.6088199999999997</c:v>
                </c:pt>
                <c:pt idx="6">
                  <c:v>5.6649799999999999</c:v>
                </c:pt>
                <c:pt idx="7">
                  <c:v>5.7137200000000004</c:v>
                </c:pt>
                <c:pt idx="8">
                  <c:v>5.7826000000000004</c:v>
                </c:pt>
                <c:pt idx="9">
                  <c:v>5.8737299999999992</c:v>
                </c:pt>
                <c:pt idx="10">
                  <c:v>5.9691000000000001</c:v>
                </c:pt>
                <c:pt idx="11">
                  <c:v>6.0753000000000004</c:v>
                </c:pt>
                <c:pt idx="12">
                  <c:v>6.18316</c:v>
                </c:pt>
                <c:pt idx="13">
                  <c:v>6.2954799999999995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6BA7-4083-A677-0BA8ED82CBE8}"/>
            </c:ext>
          </c:extLst>
        </c:ser>
        <c:ser>
          <c:idx val="6"/>
          <c:order val="6"/>
          <c:tx>
            <c:v>50C Test 2</c:v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Sheet1!$K$139:$K$152</c:f>
              <c:numCache>
                <c:formatCode>General</c:formatCode>
                <c:ptCount val="14"/>
                <c:pt idx="0">
                  <c:v>0.55755548692938184</c:v>
                </c:pt>
                <c:pt idx="1">
                  <c:v>6.3651823849016198</c:v>
                </c:pt>
                <c:pt idx="2">
                  <c:v>11.591618509584965</c:v>
                </c:pt>
                <c:pt idx="3">
                  <c:v>22.889285985479418</c:v>
                </c:pt>
                <c:pt idx="4">
                  <c:v>34.457060972565024</c:v>
                </c:pt>
                <c:pt idx="5">
                  <c:v>45.608376805364983</c:v>
                </c:pt>
                <c:pt idx="6">
                  <c:v>55.951740841883158</c:v>
                </c:pt>
                <c:pt idx="7">
                  <c:v>83.729821091494586</c:v>
                </c:pt>
                <c:pt idx="8">
                  <c:v>124.43573713725419</c:v>
                </c:pt>
                <c:pt idx="9">
                  <c:v>162.53199832092187</c:v>
                </c:pt>
                <c:pt idx="10">
                  <c:v>200.79359701068762</c:v>
                </c:pt>
                <c:pt idx="11">
                  <c:v>238.72273092464775</c:v>
                </c:pt>
                <c:pt idx="12">
                  <c:v>272.70905563049325</c:v>
                </c:pt>
                <c:pt idx="13">
                  <c:v>309.26607384621235</c:v>
                </c:pt>
              </c:numCache>
            </c:numRef>
          </c:xVal>
          <c:yVal>
            <c:numRef>
              <c:f>Sheet1!$H$139:$H$152</c:f>
              <c:numCache>
                <c:formatCode>General</c:formatCode>
                <c:ptCount val="14"/>
                <c:pt idx="0">
                  <c:v>5.8525400000000003</c:v>
                </c:pt>
                <c:pt idx="1">
                  <c:v>5.8678599999999994</c:v>
                </c:pt>
                <c:pt idx="2">
                  <c:v>5.9079300000000003</c:v>
                </c:pt>
                <c:pt idx="3">
                  <c:v>5.9441499999999996</c:v>
                </c:pt>
                <c:pt idx="4">
                  <c:v>5.9865399999999998</c:v>
                </c:pt>
                <c:pt idx="5">
                  <c:v>6.0304700000000002</c:v>
                </c:pt>
                <c:pt idx="6">
                  <c:v>6.0743900000000002</c:v>
                </c:pt>
                <c:pt idx="7">
                  <c:v>6.1167799999999994</c:v>
                </c:pt>
                <c:pt idx="8">
                  <c:v>6.1792100000000003</c:v>
                </c:pt>
                <c:pt idx="9">
                  <c:v>6.2508800000000004</c:v>
                </c:pt>
                <c:pt idx="10">
                  <c:v>6.3287200000000006</c:v>
                </c:pt>
                <c:pt idx="11">
                  <c:v>6.4073199999999995</c:v>
                </c:pt>
                <c:pt idx="12">
                  <c:v>6.4967199999999998</c:v>
                </c:pt>
                <c:pt idx="13">
                  <c:v>6.5799500000000002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6BA7-4083-A677-0BA8ED82CBE8}"/>
            </c:ext>
          </c:extLst>
        </c:ser>
        <c:ser>
          <c:idx val="7"/>
          <c:order val="7"/>
          <c:tx>
            <c:v>50C Test 3</c:v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Sheet1!$K$157:$K$170</c:f>
              <c:numCache>
                <c:formatCode>General</c:formatCode>
                <c:ptCount val="14"/>
                <c:pt idx="0">
                  <c:v>0.58321581069548822</c:v>
                </c:pt>
                <c:pt idx="1">
                  <c:v>6.6785387453160192</c:v>
                </c:pt>
                <c:pt idx="2">
                  <c:v>12.801536981300712</c:v>
                </c:pt>
                <c:pt idx="3">
                  <c:v>24.428774015844823</c:v>
                </c:pt>
                <c:pt idx="4">
                  <c:v>36.102055782358121</c:v>
                </c:pt>
                <c:pt idx="5">
                  <c:v>48.265015090263162</c:v>
                </c:pt>
                <c:pt idx="6">
                  <c:v>59.229935761759343</c:v>
                </c:pt>
                <c:pt idx="7">
                  <c:v>88.572111563555211</c:v>
                </c:pt>
                <c:pt idx="8">
                  <c:v>129.52850717200153</c:v>
                </c:pt>
                <c:pt idx="9">
                  <c:v>171.9319355752265</c:v>
                </c:pt>
                <c:pt idx="10">
                  <c:v>212.27379917338584</c:v>
                </c:pt>
                <c:pt idx="11">
                  <c:v>251.9268467924945</c:v>
                </c:pt>
                <c:pt idx="12">
                  <c:v>292.07605912710954</c:v>
                </c:pt>
                <c:pt idx="13">
                  <c:v>324.26629176684179</c:v>
                </c:pt>
              </c:numCache>
            </c:numRef>
          </c:xVal>
          <c:yVal>
            <c:numRef>
              <c:f>Sheet1!$H$157:$H$170</c:f>
              <c:numCache>
                <c:formatCode>General</c:formatCode>
                <c:ptCount val="14"/>
                <c:pt idx="0">
                  <c:v>5.59504</c:v>
                </c:pt>
                <c:pt idx="1">
                  <c:v>5.6119899999999996</c:v>
                </c:pt>
                <c:pt idx="2">
                  <c:v>5.6374300000000002</c:v>
                </c:pt>
                <c:pt idx="3">
                  <c:v>5.67028</c:v>
                </c:pt>
                <c:pt idx="4">
                  <c:v>5.7105399999999999</c:v>
                </c:pt>
                <c:pt idx="5">
                  <c:v>5.73386</c:v>
                </c:pt>
                <c:pt idx="6">
                  <c:v>5.7792299999999992</c:v>
                </c:pt>
                <c:pt idx="7">
                  <c:v>5.8077399999999999</c:v>
                </c:pt>
                <c:pt idx="8">
                  <c:v>5.8547600000000006</c:v>
                </c:pt>
                <c:pt idx="9">
                  <c:v>5.9241200000000003</c:v>
                </c:pt>
                <c:pt idx="10">
                  <c:v>5.9934799999999999</c:v>
                </c:pt>
                <c:pt idx="11">
                  <c:v>6.0805600000000002</c:v>
                </c:pt>
                <c:pt idx="12">
                  <c:v>6.1714899999999995</c:v>
                </c:pt>
                <c:pt idx="13">
                  <c:v>6.2670600000000007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6BA7-4083-A677-0BA8ED82CBE8}"/>
            </c:ext>
          </c:extLst>
        </c:ser>
        <c:ser>
          <c:idx val="8"/>
          <c:order val="8"/>
          <c:tx>
            <c:v>50C Test 4</c:v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Sheet1!$K$175:$K$188</c:f>
              <c:numCache>
                <c:formatCode>General</c:formatCode>
                <c:ptCount val="14"/>
                <c:pt idx="0">
                  <c:v>0.63594982537310485</c:v>
                </c:pt>
                <c:pt idx="1">
                  <c:v>7.4055070709515274</c:v>
                </c:pt>
                <c:pt idx="2">
                  <c:v>13.61537772482651</c:v>
                </c:pt>
                <c:pt idx="3">
                  <c:v>26.804802964948873</c:v>
                </c:pt>
                <c:pt idx="4">
                  <c:v>39.408038731009668</c:v>
                </c:pt>
                <c:pt idx="5">
                  <c:v>52.632988169715233</c:v>
                </c:pt>
                <c:pt idx="6">
                  <c:v>63.774292093672315</c:v>
                </c:pt>
                <c:pt idx="7">
                  <c:v>95.101310397874698</c:v>
                </c:pt>
                <c:pt idx="8">
                  <c:v>139.28589678020984</c:v>
                </c:pt>
                <c:pt idx="9">
                  <c:v>183.31427238089583</c:v>
                </c:pt>
                <c:pt idx="10">
                  <c:v>224.59689939333532</c:v>
                </c:pt>
                <c:pt idx="11">
                  <c:v>267.01664867355652</c:v>
                </c:pt>
                <c:pt idx="12">
                  <c:v>308.39020084215315</c:v>
                </c:pt>
                <c:pt idx="13">
                  <c:v>343.46199542200463</c:v>
                </c:pt>
              </c:numCache>
            </c:numRef>
          </c:xVal>
          <c:yVal>
            <c:numRef>
              <c:f>Sheet1!$H$175:$H$188</c:f>
              <c:numCache>
                <c:formatCode>General</c:formatCode>
                <c:ptCount val="14"/>
                <c:pt idx="0">
                  <c:v>5.1310900000000004</c:v>
                </c:pt>
                <c:pt idx="1">
                  <c:v>5.1298500000000002</c:v>
                </c:pt>
                <c:pt idx="2">
                  <c:v>5.1588400000000005</c:v>
                </c:pt>
                <c:pt idx="3">
                  <c:v>5.18832</c:v>
                </c:pt>
                <c:pt idx="4">
                  <c:v>5.2151000000000005</c:v>
                </c:pt>
                <c:pt idx="5">
                  <c:v>5.2682799999999999</c:v>
                </c:pt>
                <c:pt idx="6">
                  <c:v>5.3276199999999996</c:v>
                </c:pt>
                <c:pt idx="7">
                  <c:v>5.3931300000000002</c:v>
                </c:pt>
                <c:pt idx="8">
                  <c:v>5.4755900000000004</c:v>
                </c:pt>
                <c:pt idx="9">
                  <c:v>5.5575700000000001</c:v>
                </c:pt>
                <c:pt idx="10">
                  <c:v>5.6437799999999996</c:v>
                </c:pt>
                <c:pt idx="11">
                  <c:v>5.7243199999999996</c:v>
                </c:pt>
                <c:pt idx="12">
                  <c:v>5.8146800000000001</c:v>
                </c:pt>
                <c:pt idx="13">
                  <c:v>5.90022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6BA7-4083-A677-0BA8ED82CBE8}"/>
            </c:ext>
          </c:extLst>
        </c:ser>
        <c:ser>
          <c:idx val="9"/>
          <c:order val="9"/>
          <c:tx>
            <c:v>50C Test 5</c:v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Sheet1!$K$193:$K$206</c:f>
              <c:numCache>
                <c:formatCode>General</c:formatCode>
                <c:ptCount val="14"/>
                <c:pt idx="0">
                  <c:v>0.60591667678169658</c:v>
                </c:pt>
                <c:pt idx="1">
                  <c:v>6.570200552855253</c:v>
                </c:pt>
                <c:pt idx="2">
                  <c:v>12.650525008974693</c:v>
                </c:pt>
                <c:pt idx="3">
                  <c:v>25.430561953885906</c:v>
                </c:pt>
                <c:pt idx="4">
                  <c:v>37.819889202726017</c:v>
                </c:pt>
                <c:pt idx="5">
                  <c:v>50.097512402218037</c:v>
                </c:pt>
                <c:pt idx="6">
                  <c:v>60.964053831463922</c:v>
                </c:pt>
                <c:pt idx="7">
                  <c:v>91.122450699941197</c:v>
                </c:pt>
                <c:pt idx="8">
                  <c:v>135.07926577583078</c:v>
                </c:pt>
                <c:pt idx="9">
                  <c:v>177.11991683585862</c:v>
                </c:pt>
                <c:pt idx="10">
                  <c:v>216.72785229015173</c:v>
                </c:pt>
                <c:pt idx="11">
                  <c:v>260.204342311</c:v>
                </c:pt>
                <c:pt idx="12">
                  <c:v>298.47466702411555</c:v>
                </c:pt>
                <c:pt idx="13">
                  <c:v>334.14285657449534</c:v>
                </c:pt>
              </c:numCache>
            </c:numRef>
          </c:xVal>
          <c:yVal>
            <c:numRef>
              <c:f>Sheet1!$H$193:$H$206</c:f>
              <c:numCache>
                <c:formatCode>General</c:formatCode>
                <c:ptCount val="14"/>
                <c:pt idx="0">
                  <c:v>5.3854199999999999</c:v>
                </c:pt>
                <c:pt idx="1">
                  <c:v>5.39621</c:v>
                </c:pt>
                <c:pt idx="2">
                  <c:v>5.3985200000000004</c:v>
                </c:pt>
                <c:pt idx="3">
                  <c:v>5.4100799999999998</c:v>
                </c:pt>
                <c:pt idx="4">
                  <c:v>5.4516999999999998</c:v>
                </c:pt>
                <c:pt idx="5">
                  <c:v>5.5110400000000004</c:v>
                </c:pt>
                <c:pt idx="6">
                  <c:v>5.5634399999999999</c:v>
                </c:pt>
                <c:pt idx="7">
                  <c:v>5.6196999999999999</c:v>
                </c:pt>
                <c:pt idx="8">
                  <c:v>5.6728800000000001</c:v>
                </c:pt>
                <c:pt idx="9">
                  <c:v>5.7376100000000001</c:v>
                </c:pt>
                <c:pt idx="10">
                  <c:v>5.8116000000000003</c:v>
                </c:pt>
                <c:pt idx="11">
                  <c:v>5.8963700000000001</c:v>
                </c:pt>
                <c:pt idx="12">
                  <c:v>5.9634200000000002</c:v>
                </c:pt>
                <c:pt idx="13">
                  <c:v>6.0366299999999997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6BA7-4083-A677-0BA8ED82CB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7954800"/>
        <c:axId val="279336248"/>
      </c:scatterChart>
      <c:valAx>
        <c:axId val="2779548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9336248"/>
        <c:crosses val="autoZero"/>
        <c:crossBetween val="midCat"/>
      </c:valAx>
      <c:valAx>
        <c:axId val="279336248"/>
        <c:scaling>
          <c:orientation val="minMax"/>
          <c:max val="8"/>
          <c:min val="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79548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chart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chart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chart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chart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chart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chart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chart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chart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chart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141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>
  <sheetPr/>
  <sheetViews>
    <sheetView zoomScale="141" workbookViewId="0" zoomToFit="1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>
  <sheetPr/>
  <sheetViews>
    <sheetView zoomScale="141" workbookViewId="0" zoomToFit="1"/>
  </sheetViews>
  <pageMargins left="0.7" right="0.7" top="0.75" bottom="0.75" header="0.3" footer="0.3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>
  <sheetPr/>
  <sheetViews>
    <sheetView zoomScale="141" workbookViewId="0" zoomToFit="1"/>
  </sheetViews>
  <pageMargins left="0.7" right="0.7" top="0.75" bottom="0.75" header="0.3" footer="0.3"/>
  <drawing r:id="rId1"/>
</chartsheet>
</file>

<file path=xl/chartsheets/sheet5.xml><?xml version="1.0" encoding="utf-8"?>
<chartsheet xmlns="http://schemas.openxmlformats.org/spreadsheetml/2006/main" xmlns:r="http://schemas.openxmlformats.org/officeDocument/2006/relationships">
  <sheetPr/>
  <sheetViews>
    <sheetView zoomScale="141" workbookViewId="0" zoomToFit="1"/>
  </sheetViews>
  <pageMargins left="0.7" right="0.7" top="0.75" bottom="0.75" header="0.3" footer="0.3"/>
  <drawing r:id="rId1"/>
</chartsheet>
</file>

<file path=xl/chartsheets/sheet6.xml><?xml version="1.0" encoding="utf-8"?>
<chartsheet xmlns="http://schemas.openxmlformats.org/spreadsheetml/2006/main" xmlns:r="http://schemas.openxmlformats.org/officeDocument/2006/relationships">
  <sheetPr/>
  <sheetViews>
    <sheetView zoomScale="141" workbookViewId="0" zoomToFit="1"/>
  </sheetViews>
  <pageMargins left="0.7" right="0.7" top="0.75" bottom="0.75" header="0.3" footer="0.3"/>
  <drawing r:id="rId1"/>
</chartsheet>
</file>

<file path=xl/chartsheets/sheet7.xml><?xml version="1.0" encoding="utf-8"?>
<chartsheet xmlns="http://schemas.openxmlformats.org/spreadsheetml/2006/main" xmlns:r="http://schemas.openxmlformats.org/officeDocument/2006/relationships">
  <sheetPr/>
  <sheetViews>
    <sheetView zoomScale="141" workbookViewId="0" zoomToFit="1"/>
  </sheetViews>
  <pageMargins left="0.7" right="0.7" top="0.75" bottom="0.75" header="0.3" footer="0.3"/>
  <drawing r:id="rId1"/>
</chartsheet>
</file>

<file path=xl/chartsheets/sheet8.xml><?xml version="1.0" encoding="utf-8"?>
<chartsheet xmlns="http://schemas.openxmlformats.org/spreadsheetml/2006/main" xmlns:r="http://schemas.openxmlformats.org/officeDocument/2006/relationships">
  <sheetPr/>
  <sheetViews>
    <sheetView zoomScale="141" workbookViewId="0" zoomToFit="1"/>
  </sheetViews>
  <pageMargins left="0.7" right="0.7" top="0.75" bottom="0.75" header="0.3" footer="0.3"/>
  <drawing r:id="rId1"/>
</chartsheet>
</file>

<file path=xl/chartsheets/sheet9.xml><?xml version="1.0" encoding="utf-8"?>
<chartsheet xmlns="http://schemas.openxmlformats.org/spreadsheetml/2006/main" xmlns:r="http://schemas.openxmlformats.org/officeDocument/2006/relationships">
  <sheetPr/>
  <sheetViews>
    <sheetView zoomScale="141" workbookViewId="0" zoomToFit="1"/>
  </sheetViews>
  <pageMargins left="0.7" right="0.7" top="0.75" bottom="0.75" header="0.3" footer="0.3"/>
  <drawing r:id="rId1"/>
</chartsheet>
</file>

<file path=xl/chartsheets/sheet10.xml><?xml version="1.0" encoding="utf-8"?>
<chartsheet xmlns="http://schemas.openxmlformats.org/spreadsheetml/2006/main" xmlns:r="http://schemas.openxmlformats.org/officeDocument/2006/relationships">
  <sheetPr/>
  <sheetViews>
    <sheetView zoomScale="141" workbookViewId="0" zoomToFit="1"/>
  </sheetViews>
  <pageMargins left="0.7" right="0.7" top="0.75" bottom="0.75" header="0.3" footer="0.3"/>
  <drawing r:id="rId1"/>
</chartsheet>
</file>

<file path=xl/chartsheets/sheet11.xml><?xml version="1.0" encoding="utf-8"?>
<chartsheet xmlns="http://schemas.openxmlformats.org/spreadsheetml/2006/main" xmlns:r="http://schemas.openxmlformats.org/officeDocument/2006/relationships">
  <sheetPr/>
  <sheetViews>
    <sheetView zoomScale="141" workbookViewId="0" zoomToFit="1"/>
  </sheetViews>
  <pageMargins left="0.7" right="0.7" top="0.75" bottom="0.75" header="0.3" footer="0.3"/>
  <drawing r:id="rId1"/>
</chartsheet>
</file>

<file path=xl/chartsheets/sheet12.xml><?xml version="1.0" encoding="utf-8"?>
<chartsheet xmlns="http://schemas.openxmlformats.org/spreadsheetml/2006/main" xmlns:r="http://schemas.openxmlformats.org/officeDocument/2006/relationships">
  <sheetPr/>
  <sheetViews>
    <sheetView zoomScale="141" workbookViewId="0" zoomToFit="1"/>
  </sheetViews>
  <pageMargins left="0.7" right="0.7" top="0.75" bottom="0.75" header="0.3" footer="0.3"/>
  <drawing r:id="rId1"/>
</chartsheet>
</file>

<file path=xl/chartsheets/sheet13.xml><?xml version="1.0" encoding="utf-8"?>
<chartsheet xmlns="http://schemas.openxmlformats.org/spreadsheetml/2006/main" xmlns:r="http://schemas.openxmlformats.org/officeDocument/2006/relationships">
  <sheetPr/>
  <sheetViews>
    <sheetView zoomScale="141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02074" cy="6079787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0.42409</cdr:x>
      <cdr:y>0.19542</cdr:y>
    </cdr:from>
    <cdr:to>
      <cdr:x>0.55737</cdr:x>
      <cdr:y>0.41216</cdr:y>
    </cdr:to>
    <cdr:cxnSp macro="">
      <cdr:nvCxnSpPr>
        <cdr:cNvPr id="5" name="Straight Arrow Connector 4"/>
        <cdr:cNvCxnSpPr/>
      </cdr:nvCxnSpPr>
      <cdr:spPr>
        <a:xfrm xmlns:a="http://schemas.openxmlformats.org/drawingml/2006/main">
          <a:off x="3944959" y="1188139"/>
          <a:ext cx="1239780" cy="1317733"/>
        </a:xfrm>
        <a:prstGeom xmlns:a="http://schemas.openxmlformats.org/drawingml/2006/main" prst="straightConnector1">
          <a:avLst/>
        </a:prstGeom>
        <a:ln xmlns:a="http://schemas.openxmlformats.org/drawingml/2006/main" w="15875">
          <a:solidFill>
            <a:srgbClr val="FF0000"/>
          </a:solidFill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0.21704</cdr:x>
      <cdr:y>0.10915</cdr:y>
    </cdr:from>
    <cdr:to>
      <cdr:x>0.55967</cdr:x>
      <cdr:y>0.30052</cdr:y>
    </cdr:to>
    <cdr:sp macro="" textlink="">
      <cdr:nvSpPr>
        <cdr:cNvPr id="6" name="TextBox 2"/>
        <cdr:cNvSpPr txBox="1"/>
      </cdr:nvSpPr>
      <cdr:spPr>
        <a:xfrm xmlns:a="http://schemas.openxmlformats.org/drawingml/2006/main">
          <a:off x="2018945" y="663602"/>
          <a:ext cx="3187170" cy="116348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GB" sz="1400"/>
            <a:t>(16.5 MPa)×(Real contact area curve)</a:t>
          </a:r>
        </a:p>
        <a:p xmlns:a="http://schemas.openxmlformats.org/drawingml/2006/main">
          <a:r>
            <a:rPr lang="en-GB" sz="1400"/>
            <a:t>From: </a:t>
          </a:r>
          <a:r>
            <a:rPr lang="en-GB" sz="1400" b="1" baseline="0"/>
            <a:t>F=</a:t>
          </a:r>
          <a:r>
            <a:rPr lang="el-GR" sz="1400" b="1" baseline="0"/>
            <a:t>τ</a:t>
          </a:r>
          <a:r>
            <a:rPr lang="en-GB" sz="1400" b="1" baseline="0"/>
            <a:t>A</a:t>
          </a:r>
          <a:endParaRPr lang="en-GB" sz="1400" b="1"/>
        </a:p>
      </cdr:txBody>
    </cdr:sp>
  </cdr:relSizeAnchor>
  <cdr:relSizeAnchor xmlns:cdr="http://schemas.openxmlformats.org/drawingml/2006/chartDrawing">
    <cdr:from>
      <cdr:x>0.7011</cdr:x>
      <cdr:y>0.33387</cdr:y>
    </cdr:from>
    <cdr:to>
      <cdr:x>0.76134</cdr:x>
      <cdr:y>0.43076</cdr:y>
    </cdr:to>
    <cdr:cxnSp macro="">
      <cdr:nvCxnSpPr>
        <cdr:cNvPr id="7" name="Straight Arrow Connector 6"/>
        <cdr:cNvCxnSpPr/>
      </cdr:nvCxnSpPr>
      <cdr:spPr>
        <a:xfrm xmlns:a="http://schemas.openxmlformats.org/drawingml/2006/main" flipH="1" flipV="1">
          <a:off x="6521700" y="2029885"/>
          <a:ext cx="560357" cy="589071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chemeClr val="tx1"/>
          </a:solidFill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0.59225</cdr:x>
      <cdr:y>0.42738</cdr:y>
    </cdr:from>
    <cdr:to>
      <cdr:x>0.93488</cdr:x>
      <cdr:y>0.61875</cdr:y>
    </cdr:to>
    <cdr:sp macro="" textlink="">
      <cdr:nvSpPr>
        <cdr:cNvPr id="8" name="TextBox 1"/>
        <cdr:cNvSpPr txBox="1"/>
      </cdr:nvSpPr>
      <cdr:spPr>
        <a:xfrm xmlns:a="http://schemas.openxmlformats.org/drawingml/2006/main">
          <a:off x="5508482" y="2595141"/>
          <a:ext cx="3186761" cy="116203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GB" sz="1400"/>
            <a:t>Measured</a:t>
          </a:r>
          <a:r>
            <a:rPr lang="en-GB" sz="1400" baseline="0"/>
            <a:t> Friction</a:t>
          </a:r>
          <a:endParaRPr lang="en-GB" sz="1400"/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9302074" cy="6079787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0.44326</cdr:x>
      <cdr:y>0.22809</cdr:y>
    </cdr:from>
    <cdr:to>
      <cdr:x>0.57654</cdr:x>
      <cdr:y>0.44483</cdr:y>
    </cdr:to>
    <cdr:cxnSp macro="">
      <cdr:nvCxnSpPr>
        <cdr:cNvPr id="3" name="Straight Arrow Connector 2"/>
        <cdr:cNvCxnSpPr/>
      </cdr:nvCxnSpPr>
      <cdr:spPr>
        <a:xfrm xmlns:a="http://schemas.openxmlformats.org/drawingml/2006/main">
          <a:off x="4123240" y="1386719"/>
          <a:ext cx="1239780" cy="1317733"/>
        </a:xfrm>
        <a:prstGeom xmlns:a="http://schemas.openxmlformats.org/drawingml/2006/main" prst="straightConnector1">
          <a:avLst/>
        </a:prstGeom>
        <a:ln xmlns:a="http://schemas.openxmlformats.org/drawingml/2006/main" w="15875">
          <a:solidFill>
            <a:srgbClr val="FF0000"/>
          </a:solidFill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0.26816</cdr:x>
      <cdr:y>0.16292</cdr:y>
    </cdr:from>
    <cdr:to>
      <cdr:x>0.61079</cdr:x>
      <cdr:y>0.35429</cdr:y>
    </cdr:to>
    <cdr:sp macro="" textlink="">
      <cdr:nvSpPr>
        <cdr:cNvPr id="4" name="TextBox 3"/>
        <cdr:cNvSpPr txBox="1"/>
      </cdr:nvSpPr>
      <cdr:spPr>
        <a:xfrm xmlns:a="http://schemas.openxmlformats.org/drawingml/2006/main">
          <a:off x="2494459" y="990533"/>
          <a:ext cx="3187169" cy="116348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GB" sz="1400"/>
            <a:t>(16 MPa)×(Real contact area curve)</a:t>
          </a:r>
        </a:p>
        <a:p xmlns:a="http://schemas.openxmlformats.org/drawingml/2006/main">
          <a:r>
            <a:rPr lang="en-GB" sz="1400"/>
            <a:t>From: </a:t>
          </a:r>
          <a:r>
            <a:rPr lang="en-GB" sz="1400" b="1" baseline="0"/>
            <a:t>F=</a:t>
          </a:r>
          <a:r>
            <a:rPr lang="el-GR" sz="1400" b="1" baseline="0"/>
            <a:t>τ</a:t>
          </a:r>
          <a:r>
            <a:rPr lang="en-GB" sz="1400" b="1" baseline="0"/>
            <a:t>A</a:t>
          </a:r>
          <a:endParaRPr lang="en-GB" sz="1400" b="1"/>
        </a:p>
      </cdr:txBody>
    </cdr:sp>
  </cdr:relSizeAnchor>
  <cdr:relSizeAnchor xmlns:cdr="http://schemas.openxmlformats.org/drawingml/2006/chartDrawing">
    <cdr:from>
      <cdr:x>0.76094</cdr:x>
      <cdr:y>0.35209</cdr:y>
    </cdr:from>
    <cdr:to>
      <cdr:x>0.82118</cdr:x>
      <cdr:y>0.44898</cdr:y>
    </cdr:to>
    <cdr:cxnSp macro="">
      <cdr:nvCxnSpPr>
        <cdr:cNvPr id="5" name="Straight Arrow Connector 4"/>
        <cdr:cNvCxnSpPr/>
      </cdr:nvCxnSpPr>
      <cdr:spPr>
        <a:xfrm xmlns:a="http://schemas.openxmlformats.org/drawingml/2006/main" flipH="1" flipV="1">
          <a:off x="7078278" y="2140645"/>
          <a:ext cx="560357" cy="589071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chemeClr val="tx1"/>
          </a:solidFill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0.7618</cdr:x>
      <cdr:y>0.44671</cdr:y>
    </cdr:from>
    <cdr:to>
      <cdr:x>1</cdr:x>
      <cdr:y>0.63808</cdr:y>
    </cdr:to>
    <cdr:sp macro="" textlink="">
      <cdr:nvSpPr>
        <cdr:cNvPr id="8" name="TextBox 1"/>
        <cdr:cNvSpPr txBox="1"/>
      </cdr:nvSpPr>
      <cdr:spPr>
        <a:xfrm xmlns:a="http://schemas.openxmlformats.org/drawingml/2006/main">
          <a:off x="7086330" y="2715896"/>
          <a:ext cx="2215744" cy="116348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GB" sz="1400"/>
            <a:t>Measured</a:t>
          </a:r>
          <a:r>
            <a:rPr lang="en-GB" sz="1400" baseline="0"/>
            <a:t> Friction</a:t>
          </a:r>
          <a:endParaRPr lang="en-GB" sz="1400"/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9302074" cy="6079787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0.4095</cdr:x>
      <cdr:y>0.23876</cdr:y>
    </cdr:from>
    <cdr:to>
      <cdr:x>0.54278</cdr:x>
      <cdr:y>0.4555</cdr:y>
    </cdr:to>
    <cdr:cxnSp macro="">
      <cdr:nvCxnSpPr>
        <cdr:cNvPr id="3" name="Straight Arrow Connector 2"/>
        <cdr:cNvCxnSpPr/>
      </cdr:nvCxnSpPr>
      <cdr:spPr>
        <a:xfrm xmlns:a="http://schemas.openxmlformats.org/drawingml/2006/main">
          <a:off x="3809210" y="1451603"/>
          <a:ext cx="1239780" cy="1317733"/>
        </a:xfrm>
        <a:prstGeom xmlns:a="http://schemas.openxmlformats.org/drawingml/2006/main" prst="straightConnector1">
          <a:avLst/>
        </a:prstGeom>
        <a:ln xmlns:a="http://schemas.openxmlformats.org/drawingml/2006/main" w="15875">
          <a:solidFill>
            <a:srgbClr val="FF0000"/>
          </a:solidFill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0.28486</cdr:x>
      <cdr:y>0.16626</cdr:y>
    </cdr:from>
    <cdr:to>
      <cdr:x>0.62749</cdr:x>
      <cdr:y>0.35763</cdr:y>
    </cdr:to>
    <cdr:sp macro="" textlink="">
      <cdr:nvSpPr>
        <cdr:cNvPr id="4" name="TextBox 3"/>
        <cdr:cNvSpPr txBox="1"/>
      </cdr:nvSpPr>
      <cdr:spPr>
        <a:xfrm xmlns:a="http://schemas.openxmlformats.org/drawingml/2006/main">
          <a:off x="2649832" y="1010799"/>
          <a:ext cx="3187169" cy="116348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GB" sz="1400"/>
            <a:t>(17 MPa)×(Real contact area curve)</a:t>
          </a:r>
        </a:p>
        <a:p xmlns:a="http://schemas.openxmlformats.org/drawingml/2006/main">
          <a:r>
            <a:rPr lang="en-GB" sz="1400"/>
            <a:t>From: </a:t>
          </a:r>
          <a:r>
            <a:rPr lang="en-GB" sz="1400" b="1" baseline="0"/>
            <a:t>F=</a:t>
          </a:r>
          <a:r>
            <a:rPr lang="el-GR" sz="1400" b="1" baseline="0"/>
            <a:t>τ</a:t>
          </a:r>
          <a:r>
            <a:rPr lang="en-GB" sz="1400" b="1" baseline="0"/>
            <a:t>A</a:t>
          </a:r>
          <a:endParaRPr lang="en-GB" sz="1400" b="1"/>
        </a:p>
      </cdr:txBody>
    </cdr:sp>
  </cdr:relSizeAnchor>
  <cdr:relSizeAnchor xmlns:cdr="http://schemas.openxmlformats.org/drawingml/2006/chartDrawing">
    <cdr:from>
      <cdr:x>0.57701</cdr:x>
      <cdr:y>0.44739</cdr:y>
    </cdr:from>
    <cdr:to>
      <cdr:x>0.63725</cdr:x>
      <cdr:y>0.54428</cdr:y>
    </cdr:to>
    <cdr:cxnSp macro="">
      <cdr:nvCxnSpPr>
        <cdr:cNvPr id="5" name="Straight Arrow Connector 4"/>
        <cdr:cNvCxnSpPr/>
      </cdr:nvCxnSpPr>
      <cdr:spPr>
        <a:xfrm xmlns:a="http://schemas.openxmlformats.org/drawingml/2006/main" flipH="1" flipV="1">
          <a:off x="5367426" y="2720063"/>
          <a:ext cx="560357" cy="589071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chemeClr val="tx1"/>
          </a:solidFill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0.63631</cdr:x>
      <cdr:y>0.5256</cdr:y>
    </cdr:from>
    <cdr:to>
      <cdr:x>0.97894</cdr:x>
      <cdr:y>0.71697</cdr:y>
    </cdr:to>
    <cdr:sp macro="" textlink="">
      <cdr:nvSpPr>
        <cdr:cNvPr id="8" name="TextBox 1"/>
        <cdr:cNvSpPr txBox="1"/>
      </cdr:nvSpPr>
      <cdr:spPr>
        <a:xfrm xmlns:a="http://schemas.openxmlformats.org/drawingml/2006/main">
          <a:off x="5919000" y="3195523"/>
          <a:ext cx="3187170" cy="116348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GB" sz="1400"/>
            <a:t>Measured</a:t>
          </a:r>
          <a:r>
            <a:rPr lang="en-GB" sz="1400" baseline="0"/>
            <a:t> Friction</a:t>
          </a:r>
          <a:endParaRPr lang="en-GB" sz="1400"/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9302074" cy="6079787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0.44081</cdr:x>
      <cdr:y>0.23008</cdr:y>
    </cdr:from>
    <cdr:to>
      <cdr:x>0.57409</cdr:x>
      <cdr:y>0.44682</cdr:y>
    </cdr:to>
    <cdr:cxnSp macro="">
      <cdr:nvCxnSpPr>
        <cdr:cNvPr id="3" name="Straight Arrow Connector 2"/>
        <cdr:cNvCxnSpPr/>
      </cdr:nvCxnSpPr>
      <cdr:spPr>
        <a:xfrm xmlns:a="http://schemas.openxmlformats.org/drawingml/2006/main">
          <a:off x="4100408" y="1398864"/>
          <a:ext cx="1239780" cy="1317733"/>
        </a:xfrm>
        <a:prstGeom xmlns:a="http://schemas.openxmlformats.org/drawingml/2006/main" prst="straightConnector1">
          <a:avLst/>
        </a:prstGeom>
        <a:ln xmlns:a="http://schemas.openxmlformats.org/drawingml/2006/main" w="15875">
          <a:solidFill>
            <a:srgbClr val="FF0000"/>
          </a:solidFill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0.24129</cdr:x>
      <cdr:y>0.16292</cdr:y>
    </cdr:from>
    <cdr:to>
      <cdr:x>0.58392</cdr:x>
      <cdr:y>0.35429</cdr:y>
    </cdr:to>
    <cdr:sp macro="" textlink="">
      <cdr:nvSpPr>
        <cdr:cNvPr id="4" name="TextBox 3"/>
        <cdr:cNvSpPr txBox="1"/>
      </cdr:nvSpPr>
      <cdr:spPr>
        <a:xfrm xmlns:a="http://schemas.openxmlformats.org/drawingml/2006/main">
          <a:off x="2244513" y="990532"/>
          <a:ext cx="3187169" cy="116348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GB" sz="1400"/>
            <a:t>(15.5 MPa)×(Real contact area curve)</a:t>
          </a:r>
        </a:p>
        <a:p xmlns:a="http://schemas.openxmlformats.org/drawingml/2006/main">
          <a:r>
            <a:rPr lang="en-GB" sz="1400"/>
            <a:t>From: </a:t>
          </a:r>
          <a:r>
            <a:rPr lang="en-GB" sz="1400" b="1" baseline="0"/>
            <a:t>F=</a:t>
          </a:r>
          <a:r>
            <a:rPr lang="el-GR" sz="1400" b="1" baseline="0"/>
            <a:t>τ</a:t>
          </a:r>
          <a:r>
            <a:rPr lang="en-GB" sz="1400" b="1" baseline="0"/>
            <a:t>A</a:t>
          </a:r>
          <a:endParaRPr lang="en-GB" sz="1400" b="1"/>
        </a:p>
      </cdr:txBody>
    </cdr:sp>
  </cdr:relSizeAnchor>
  <cdr:relSizeAnchor xmlns:cdr="http://schemas.openxmlformats.org/drawingml/2006/chartDrawing">
    <cdr:from>
      <cdr:x>0.53828</cdr:x>
      <cdr:y>0.48739</cdr:y>
    </cdr:from>
    <cdr:to>
      <cdr:x>0.59852</cdr:x>
      <cdr:y>0.58428</cdr:y>
    </cdr:to>
    <cdr:cxnSp macro="">
      <cdr:nvCxnSpPr>
        <cdr:cNvPr id="5" name="Straight Arrow Connector 4"/>
        <cdr:cNvCxnSpPr/>
      </cdr:nvCxnSpPr>
      <cdr:spPr>
        <a:xfrm xmlns:a="http://schemas.openxmlformats.org/drawingml/2006/main" flipH="1" flipV="1">
          <a:off x="5007125" y="2963254"/>
          <a:ext cx="560357" cy="589071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chemeClr val="tx1"/>
          </a:solidFill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0.58765</cdr:x>
      <cdr:y>0.59226</cdr:y>
    </cdr:from>
    <cdr:to>
      <cdr:x>0.93028</cdr:x>
      <cdr:y>0.78363</cdr:y>
    </cdr:to>
    <cdr:sp macro="" textlink="">
      <cdr:nvSpPr>
        <cdr:cNvPr id="8" name="TextBox 1"/>
        <cdr:cNvSpPr txBox="1"/>
      </cdr:nvSpPr>
      <cdr:spPr>
        <a:xfrm xmlns:a="http://schemas.openxmlformats.org/drawingml/2006/main">
          <a:off x="5466393" y="3600842"/>
          <a:ext cx="3187170" cy="116348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GB" sz="1400"/>
            <a:t>Measured</a:t>
          </a:r>
          <a:r>
            <a:rPr lang="en-GB" sz="1400" baseline="0"/>
            <a:t> Friction</a:t>
          </a:r>
          <a:endParaRPr lang="en-GB" sz="1400"/>
        </a:p>
      </cdr:txBody>
    </cdr:sp>
  </cdr:relSizeAnchor>
</c:userShapes>
</file>

<file path=xl/drawings/drawing9.xml><?xml version="1.0" encoding="utf-8"?>
<xdr:wsDr xmlns:xdr="http://schemas.openxmlformats.org/drawingml/2006/spreadsheetDrawing" xmlns:a="http://schemas.openxmlformats.org/drawingml/2006/main">
  <xdr:absoluteAnchor>
    <xdr:pos x="0" y="0"/>
    <xdr:ext cx="9302074" cy="6079787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0.xml><?xml version="1.0" encoding="utf-8"?>
<c:userShapes xmlns:c="http://schemas.openxmlformats.org/drawingml/2006/chart">
  <cdr:relSizeAnchor xmlns:cdr="http://schemas.openxmlformats.org/drawingml/2006/chartDrawing">
    <cdr:from>
      <cdr:x>0.35584</cdr:x>
      <cdr:y>0.30008</cdr:y>
    </cdr:from>
    <cdr:to>
      <cdr:x>0.48912</cdr:x>
      <cdr:y>0.51682</cdr:y>
    </cdr:to>
    <cdr:cxnSp macro="">
      <cdr:nvCxnSpPr>
        <cdr:cNvPr id="3" name="Straight Arrow Connector 2"/>
        <cdr:cNvCxnSpPr/>
      </cdr:nvCxnSpPr>
      <cdr:spPr>
        <a:xfrm xmlns:a="http://schemas.openxmlformats.org/drawingml/2006/main">
          <a:off x="3310036" y="1824450"/>
          <a:ext cx="1239780" cy="1317733"/>
        </a:xfrm>
        <a:prstGeom xmlns:a="http://schemas.openxmlformats.org/drawingml/2006/main" prst="straightConnector1">
          <a:avLst/>
        </a:prstGeom>
        <a:ln xmlns:a="http://schemas.openxmlformats.org/drawingml/2006/main" w="15875">
          <a:solidFill>
            <a:srgbClr val="FF0000"/>
          </a:solidFill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0.17811</cdr:x>
      <cdr:y>0.24181</cdr:y>
    </cdr:from>
    <cdr:to>
      <cdr:x>0.52074</cdr:x>
      <cdr:y>0.43318</cdr:y>
    </cdr:to>
    <cdr:sp macro="" textlink="">
      <cdr:nvSpPr>
        <cdr:cNvPr id="4" name="TextBox 3"/>
        <cdr:cNvSpPr txBox="1"/>
      </cdr:nvSpPr>
      <cdr:spPr>
        <a:xfrm xmlns:a="http://schemas.openxmlformats.org/drawingml/2006/main">
          <a:off x="1656800" y="1470161"/>
          <a:ext cx="3187169" cy="116348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GB" sz="1400"/>
            <a:t>(15 MPa)×(Real contact area curve)</a:t>
          </a:r>
        </a:p>
        <a:p xmlns:a="http://schemas.openxmlformats.org/drawingml/2006/main">
          <a:r>
            <a:rPr lang="en-GB" sz="1400"/>
            <a:t>From: </a:t>
          </a:r>
          <a:r>
            <a:rPr lang="en-GB" sz="1400" b="1" baseline="0"/>
            <a:t>F=</a:t>
          </a:r>
          <a:r>
            <a:rPr lang="el-GR" sz="1400" b="1" baseline="0"/>
            <a:t>τ</a:t>
          </a:r>
          <a:r>
            <a:rPr lang="en-GB" sz="1400" b="1" baseline="0"/>
            <a:t>A</a:t>
          </a:r>
          <a:endParaRPr lang="en-GB" sz="1400" b="1"/>
        </a:p>
      </cdr:txBody>
    </cdr:sp>
  </cdr:relSizeAnchor>
  <cdr:relSizeAnchor xmlns:cdr="http://schemas.openxmlformats.org/drawingml/2006/chartDrawing">
    <cdr:from>
      <cdr:x>0.70531</cdr:x>
      <cdr:y>0.40517</cdr:y>
    </cdr:from>
    <cdr:to>
      <cdr:x>0.76555</cdr:x>
      <cdr:y>0.50206</cdr:y>
    </cdr:to>
    <cdr:cxnSp macro="">
      <cdr:nvCxnSpPr>
        <cdr:cNvPr id="5" name="Straight Arrow Connector 4"/>
        <cdr:cNvCxnSpPr/>
      </cdr:nvCxnSpPr>
      <cdr:spPr>
        <a:xfrm xmlns:a="http://schemas.openxmlformats.org/drawingml/2006/main" flipH="1" flipV="1">
          <a:off x="6560848" y="2463361"/>
          <a:ext cx="560357" cy="589071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chemeClr val="tx1"/>
          </a:solidFill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0.65737</cdr:x>
      <cdr:y>0.48893</cdr:y>
    </cdr:from>
    <cdr:to>
      <cdr:x>1</cdr:x>
      <cdr:y>0.6803</cdr:y>
    </cdr:to>
    <cdr:sp macro="" textlink="">
      <cdr:nvSpPr>
        <cdr:cNvPr id="8" name="TextBox 1"/>
        <cdr:cNvSpPr txBox="1"/>
      </cdr:nvSpPr>
      <cdr:spPr>
        <a:xfrm xmlns:a="http://schemas.openxmlformats.org/drawingml/2006/main">
          <a:off x="6114904" y="2972598"/>
          <a:ext cx="3187170" cy="116348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GB" sz="1400"/>
            <a:t>Measured</a:t>
          </a:r>
          <a:r>
            <a:rPr lang="en-GB" sz="1400" baseline="0"/>
            <a:t> Friction</a:t>
          </a:r>
          <a:endParaRPr lang="en-GB" sz="1400"/>
        </a:p>
      </cdr:txBody>
    </cdr:sp>
  </cdr:relSizeAnchor>
</c:userShapes>
</file>

<file path=xl/drawings/drawing11.xml><?xml version="1.0" encoding="utf-8"?>
<xdr:wsDr xmlns:xdr="http://schemas.openxmlformats.org/drawingml/2006/spreadsheetDrawing" xmlns:a="http://schemas.openxmlformats.org/drawingml/2006/main">
  <xdr:absoluteAnchor>
    <xdr:pos x="0" y="0"/>
    <xdr:ext cx="9302074" cy="6079787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2.xml><?xml version="1.0" encoding="utf-8"?>
<xdr:wsDr xmlns:xdr="http://schemas.openxmlformats.org/drawingml/2006/spreadsheetDrawing" xmlns:a="http://schemas.openxmlformats.org/drawingml/2006/main">
  <xdr:absoluteAnchor>
    <xdr:pos x="0" y="0"/>
    <xdr:ext cx="9302074" cy="6079787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3.xml><?xml version="1.0" encoding="utf-8"?>
<c:userShapes xmlns:c="http://schemas.openxmlformats.org/drawingml/2006/chart">
  <cdr:relSizeAnchor xmlns:cdr="http://schemas.openxmlformats.org/drawingml/2006/chartDrawing">
    <cdr:from>
      <cdr:x>0</cdr:x>
      <cdr:y>0.01822</cdr:y>
    </cdr:from>
    <cdr:to>
      <cdr:x>1</cdr:x>
      <cdr:y>1</cdr:y>
    </cdr:to>
    <cdr:graphicFrame macro="">
      <cdr:nvGraphicFramePr>
        <cdr:cNvPr id="2" name="Chart 1"/>
        <cdr:cNvGraphicFramePr/>
      </cdr:nvGraphicFramePr>
      <cdr:xfrm>
        <a:off xmlns:a="http://schemas.openxmlformats.org/drawingml/2006/main" x="0" y="0"/>
        <a:ext xmlns:a="http://schemas.openxmlformats.org/drawingml/2006/main" cx="0" cy="0"/>
      </c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cdr:graphicFrame>
  </cdr:relSizeAnchor>
</c:userShapes>
</file>

<file path=xl/drawings/drawing14.xml><?xml version="1.0" encoding="utf-8"?>
<xdr:wsDr xmlns:xdr="http://schemas.openxmlformats.org/drawingml/2006/spreadsheetDrawing" xmlns:a="http://schemas.openxmlformats.org/drawingml/2006/main">
  <xdr:absoluteAnchor>
    <xdr:pos x="0" y="0"/>
    <xdr:ext cx="9302074" cy="6079787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5.xml><?xml version="1.0" encoding="utf-8"?>
<xdr:wsDr xmlns:xdr="http://schemas.openxmlformats.org/drawingml/2006/spreadsheetDrawing" xmlns:a="http://schemas.openxmlformats.org/drawingml/2006/main">
  <xdr:absoluteAnchor>
    <xdr:pos x="0" y="0"/>
    <xdr:ext cx="9302074" cy="6079787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6.xml><?xml version="1.0" encoding="utf-8"?>
<xdr:wsDr xmlns:xdr="http://schemas.openxmlformats.org/drawingml/2006/spreadsheetDrawing" xmlns:a="http://schemas.openxmlformats.org/drawingml/2006/main">
  <xdr:absoluteAnchor>
    <xdr:pos x="0" y="0"/>
    <xdr:ext cx="9302074" cy="6079787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7.xml><?xml version="1.0" encoding="utf-8"?>
<xdr:wsDr xmlns:xdr="http://schemas.openxmlformats.org/drawingml/2006/spreadsheetDrawing" xmlns:a="http://schemas.openxmlformats.org/drawingml/2006/main">
  <xdr:absoluteAnchor>
    <xdr:pos x="0" y="0"/>
    <xdr:ext cx="9302074" cy="6079787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8.xml><?xml version="1.0" encoding="utf-8"?>
<xdr:wsDr xmlns:xdr="http://schemas.openxmlformats.org/drawingml/2006/spreadsheetDrawing" xmlns:a="http://schemas.openxmlformats.org/drawingml/2006/main">
  <xdr:absoluteAnchor>
    <xdr:pos x="0" y="0"/>
    <xdr:ext cx="9302074" cy="6079787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9.xml><?xml version="1.0" encoding="utf-8"?>
<xdr:wsDr xmlns:xdr="http://schemas.openxmlformats.org/drawingml/2006/spreadsheetDrawing" xmlns:a="http://schemas.openxmlformats.org/drawingml/2006/main">
  <xdr:absoluteAnchor>
    <xdr:pos x="0" y="0"/>
    <xdr:ext cx="9302074" cy="6079787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336177</xdr:colOff>
      <xdr:row>0</xdr:row>
      <xdr:rowOff>0</xdr:rowOff>
    </xdr:from>
    <xdr:to>
      <xdr:col>12</xdr:col>
      <xdr:colOff>268941</xdr:colOff>
      <xdr:row>13</xdr:row>
      <xdr:rowOff>179294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239"/>
  <sheetViews>
    <sheetView tabSelected="1" topLeftCell="AB184" zoomScale="70" zoomScaleNormal="70" workbookViewId="0">
      <selection activeCell="AE212" sqref="AE212"/>
    </sheetView>
  </sheetViews>
  <sheetFormatPr defaultRowHeight="15" x14ac:dyDescent="0.25"/>
  <cols>
    <col min="1" max="1" width="7.5703125" customWidth="1"/>
    <col min="2" max="2" width="11.7109375" customWidth="1"/>
    <col min="3" max="3" width="20.85546875" customWidth="1"/>
    <col min="4" max="4" width="20.85546875" style="13" customWidth="1"/>
    <col min="5" max="5" width="26.42578125" customWidth="1"/>
    <col min="6" max="6" width="25" customWidth="1"/>
    <col min="7" max="7" width="26.7109375" style="13" customWidth="1"/>
    <col min="8" max="8" width="19" customWidth="1"/>
    <col min="9" max="9" width="38.140625" customWidth="1"/>
    <col min="10" max="10" width="19.28515625" customWidth="1"/>
    <col min="11" max="11" width="25.42578125" style="13" customWidth="1"/>
    <col min="12" max="12" width="36.28515625" customWidth="1"/>
    <col min="13" max="13" width="34.28515625" customWidth="1"/>
    <col min="14" max="14" width="42.140625" customWidth="1"/>
    <col min="15" max="15" width="26" customWidth="1"/>
    <col min="16" max="16" width="42.28515625" customWidth="1"/>
    <col min="17" max="17" width="31.28515625" customWidth="1"/>
    <col min="18" max="18" width="49.140625" style="13" customWidth="1"/>
    <col min="19" max="19" width="30.42578125" customWidth="1"/>
    <col min="20" max="20" width="36.7109375" customWidth="1"/>
    <col min="21" max="22" width="32.5703125" style="13" customWidth="1"/>
    <col min="23" max="23" width="28.5703125" customWidth="1"/>
    <col min="24" max="24" width="15.85546875" customWidth="1"/>
    <col min="25" max="25" width="18.140625" customWidth="1"/>
    <col min="26" max="26" width="29.7109375" customWidth="1"/>
    <col min="27" max="27" width="34.85546875" customWidth="1"/>
    <col min="28" max="28" width="34.85546875" style="13" customWidth="1"/>
    <col min="29" max="29" width="30.7109375" customWidth="1"/>
    <col min="30" max="30" width="20.5703125" customWidth="1"/>
    <col min="31" max="31" width="22.42578125" customWidth="1"/>
    <col min="33" max="33" width="19.28515625" customWidth="1"/>
    <col min="37" max="37" width="23.42578125" customWidth="1"/>
    <col min="59" max="59" width="21" customWidth="1"/>
    <col min="60" max="60" width="23.28515625" customWidth="1"/>
    <col min="61" max="61" width="16.42578125" customWidth="1"/>
  </cols>
  <sheetData>
    <row r="1" spans="1:60" s="13" customFormat="1" x14ac:dyDescent="0.25">
      <c r="A1" s="30" t="s">
        <v>10</v>
      </c>
      <c r="B1" s="30"/>
      <c r="C1" s="31"/>
      <c r="D1" s="31"/>
      <c r="E1" s="31"/>
      <c r="F1" s="31"/>
    </row>
    <row r="2" spans="1:60" s="13" customFormat="1" x14ac:dyDescent="0.25">
      <c r="A2" t="s">
        <v>18</v>
      </c>
      <c r="B2"/>
      <c r="C2"/>
      <c r="E2"/>
      <c r="F2" s="27">
        <v>7.9000000000000008E-3</v>
      </c>
    </row>
    <row r="3" spans="1:60" x14ac:dyDescent="0.25">
      <c r="A3" s="13"/>
      <c r="F3" s="27"/>
    </row>
    <row r="4" spans="1:60" s="13" customFormat="1" x14ac:dyDescent="0.25">
      <c r="A4"/>
      <c r="B4"/>
      <c r="C4"/>
      <c r="E4"/>
      <c r="F4" s="27"/>
    </row>
    <row r="5" spans="1:60" x14ac:dyDescent="0.25">
      <c r="A5" s="13" t="s">
        <v>37</v>
      </c>
      <c r="F5" s="27">
        <v>23.75</v>
      </c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</row>
    <row r="6" spans="1:60" s="7" customFormat="1" x14ac:dyDescent="0.25">
      <c r="A6" s="3" t="s">
        <v>5</v>
      </c>
      <c r="B6" s="3"/>
      <c r="C6"/>
      <c r="D6" s="13"/>
      <c r="E6"/>
      <c r="F6" s="27">
        <v>0.57799999999999996</v>
      </c>
      <c r="G6" s="13"/>
      <c r="K6" s="13"/>
      <c r="R6" s="13"/>
      <c r="U6" s="13"/>
      <c r="V6" s="13"/>
      <c r="AB6" s="13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  <c r="BH6" s="11"/>
    </row>
    <row r="7" spans="1:60" x14ac:dyDescent="0.25">
      <c r="F7" s="27"/>
      <c r="AQ7" t="s">
        <v>64</v>
      </c>
    </row>
    <row r="8" spans="1:60" s="13" customFormat="1" x14ac:dyDescent="0.25">
      <c r="A8" s="3" t="s">
        <v>39</v>
      </c>
      <c r="C8"/>
      <c r="E8"/>
      <c r="F8" s="27">
        <v>6.7000000000000002E-3</v>
      </c>
    </row>
    <row r="9" spans="1:60" x14ac:dyDescent="0.25">
      <c r="A9" s="3"/>
      <c r="B9" s="3"/>
      <c r="F9" s="27"/>
      <c r="AQ9" s="2" t="s">
        <v>53</v>
      </c>
      <c r="AR9" s="2"/>
      <c r="AS9" s="2"/>
      <c r="AT9" s="2"/>
      <c r="AV9" s="2" t="s">
        <v>54</v>
      </c>
      <c r="AW9" s="2"/>
      <c r="AX9" s="2"/>
      <c r="AY9" s="2"/>
    </row>
    <row r="10" spans="1:60" x14ac:dyDescent="0.25">
      <c r="A10" s="3" t="s">
        <v>6</v>
      </c>
      <c r="B10" s="3"/>
      <c r="F10" s="27">
        <v>14611.38</v>
      </c>
      <c r="AQ10" s="2" t="s">
        <v>49</v>
      </c>
      <c r="AR10" s="2" t="s">
        <v>50</v>
      </c>
      <c r="AS10" s="2" t="s">
        <v>51</v>
      </c>
      <c r="AT10" s="2" t="s">
        <v>52</v>
      </c>
      <c r="AU10" s="13"/>
      <c r="AV10" s="19" t="s">
        <v>49</v>
      </c>
      <c r="AW10" s="19" t="s">
        <v>50</v>
      </c>
      <c r="AX10" s="19" t="s">
        <v>51</v>
      </c>
      <c r="AY10" s="19" t="s">
        <v>52</v>
      </c>
    </row>
    <row r="11" spans="1:60" x14ac:dyDescent="0.25">
      <c r="A11" s="3" t="s">
        <v>8</v>
      </c>
      <c r="B11" s="3"/>
      <c r="F11" s="27">
        <v>1.1838200000000001</v>
      </c>
      <c r="N11">
        <f>AVERAGE(K36,K54,K72,K90,K108)</f>
        <v>264.52227384720504</v>
      </c>
      <c r="AQ11" s="42">
        <v>0.69899999999999995</v>
      </c>
      <c r="AR11" s="42">
        <v>0.71950000000000003</v>
      </c>
      <c r="AS11" s="44">
        <v>3.9140000000000001E-2</v>
      </c>
      <c r="AT11" s="42">
        <v>0.74529999999999996</v>
      </c>
      <c r="AV11" s="42">
        <v>0.70960000000000001</v>
      </c>
      <c r="AW11" s="42">
        <v>0.83009999999999995</v>
      </c>
      <c r="AX11" s="44">
        <v>3.8440000000000002E-2</v>
      </c>
      <c r="AY11" s="42">
        <v>0.74790000000000001</v>
      </c>
    </row>
    <row r="12" spans="1:60" x14ac:dyDescent="0.25">
      <c r="A12" s="3" t="s">
        <v>7</v>
      </c>
      <c r="B12" s="3"/>
      <c r="F12" s="27">
        <v>0.88785999999999998</v>
      </c>
      <c r="AQ12" s="42">
        <v>0.70799999999999996</v>
      </c>
      <c r="AR12" s="42">
        <v>0.71120000000000005</v>
      </c>
      <c r="AS12" s="44">
        <v>3.9469999999999998E-2</v>
      </c>
      <c r="AT12" s="42">
        <v>0.74639999999999995</v>
      </c>
      <c r="AV12" s="42">
        <v>0.748</v>
      </c>
      <c r="AW12" s="42">
        <v>0.8115</v>
      </c>
      <c r="AX12" s="44">
        <v>3.2770000000000001E-2</v>
      </c>
      <c r="AY12" s="42">
        <v>0.7853</v>
      </c>
    </row>
    <row r="13" spans="1:60" s="13" customFormat="1" x14ac:dyDescent="0.25">
      <c r="A13" s="3" t="s">
        <v>36</v>
      </c>
      <c r="B13"/>
      <c r="C13"/>
      <c r="E13"/>
      <c r="F13" s="27">
        <v>7</v>
      </c>
      <c r="AQ13" s="42">
        <v>0.74399999999999999</v>
      </c>
      <c r="AR13" s="42">
        <v>0.70430000000000004</v>
      </c>
      <c r="AS13" s="44">
        <v>4.6109999999999998E-2</v>
      </c>
      <c r="AT13" s="42">
        <v>0.68789999999999996</v>
      </c>
      <c r="AU13"/>
      <c r="AV13" s="42">
        <v>0.66339999999999999</v>
      </c>
      <c r="AW13" s="42">
        <v>0.84550000000000003</v>
      </c>
      <c r="AX13" s="44">
        <v>2.9409999999999999E-2</v>
      </c>
      <c r="AY13" s="42">
        <v>0.80800000000000005</v>
      </c>
    </row>
    <row r="14" spans="1:60" x14ac:dyDescent="0.25">
      <c r="A14" s="3" t="s">
        <v>38</v>
      </c>
      <c r="F14" s="27">
        <f>F13*F11</f>
        <v>8.28674</v>
      </c>
      <c r="H14">
        <f>AVERAGE(H23,H41,H59,H77,H95)</f>
        <v>7.2061759999999992</v>
      </c>
      <c r="AQ14" s="42">
        <v>0.68930000000000002</v>
      </c>
      <c r="AR14" s="42">
        <v>0.72070000000000001</v>
      </c>
      <c r="AS14" s="44">
        <v>4.6649999999999997E-2</v>
      </c>
      <c r="AT14" s="42">
        <v>0.70669999999999999</v>
      </c>
      <c r="AV14" s="42">
        <v>0.63739999999999997</v>
      </c>
      <c r="AW14" s="42">
        <v>0.84330000000000005</v>
      </c>
      <c r="AX14" s="44">
        <v>3.1559999999999998E-2</v>
      </c>
      <c r="AY14" s="42">
        <v>0.78620000000000001</v>
      </c>
    </row>
    <row r="15" spans="1:60" x14ac:dyDescent="0.25">
      <c r="A15" s="3"/>
      <c r="B15" s="3"/>
      <c r="AQ15" s="43">
        <v>0.64200000000000002</v>
      </c>
      <c r="AR15" s="43">
        <v>0.72370000000000001</v>
      </c>
      <c r="AS15" s="45">
        <v>4.6609999999999999E-2</v>
      </c>
      <c r="AT15" s="43">
        <v>0.70309999999999995</v>
      </c>
      <c r="AU15" s="13"/>
      <c r="AV15" s="43">
        <v>0.76880000000000004</v>
      </c>
      <c r="AW15" s="43">
        <v>0.81799999999999995</v>
      </c>
      <c r="AX15" s="45">
        <v>2.785E-2</v>
      </c>
      <c r="AY15" s="43">
        <v>0.80810000000000004</v>
      </c>
    </row>
    <row r="16" spans="1:60" x14ac:dyDescent="0.25">
      <c r="A16" s="3"/>
      <c r="B16" s="3"/>
      <c r="C16" s="3"/>
      <c r="D16" s="3"/>
      <c r="H16">
        <f>AVERAGE(H36,H54,H72,H90,H108)</f>
        <v>7.6996960000000003</v>
      </c>
    </row>
    <row r="17" spans="1:67" x14ac:dyDescent="0.25">
      <c r="A17" s="3"/>
      <c r="B17" s="3"/>
      <c r="C17" s="3"/>
      <c r="D17" s="3"/>
      <c r="F17" s="9"/>
      <c r="H17">
        <f>AVERAGE(H23:H36,H41:H54,H59:H72,H77:H90,H95:H108)</f>
        <v>7.4051385714285711</v>
      </c>
      <c r="I17">
        <f>AVERAGE(I36,I54,I72,I90,I108)</f>
        <v>182.86777999999998</v>
      </c>
    </row>
    <row r="18" spans="1:67" s="9" customFormat="1" ht="15.75" x14ac:dyDescent="0.25">
      <c r="A18" s="12" t="s">
        <v>11</v>
      </c>
      <c r="B18" s="17"/>
      <c r="C18" s="12"/>
      <c r="D18" s="12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30" t="s">
        <v>45</v>
      </c>
      <c r="S18" s="37"/>
      <c r="T18" s="37"/>
      <c r="U18" s="37"/>
      <c r="V18" s="39"/>
      <c r="W18" s="11"/>
      <c r="X18" s="11"/>
      <c r="Y18" s="40" t="s">
        <v>31</v>
      </c>
      <c r="Z18" s="37"/>
      <c r="AA18" s="37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s="11"/>
      <c r="AV18" s="11"/>
      <c r="AW18" s="11"/>
      <c r="AX18" s="11"/>
      <c r="AY18" s="11"/>
      <c r="AZ18" s="11"/>
      <c r="BA18" s="11"/>
      <c r="BB18" s="11"/>
      <c r="BC18" s="11"/>
      <c r="BD18" s="11"/>
      <c r="BE18" s="11"/>
      <c r="BF18" s="39"/>
      <c r="BG18" s="11"/>
      <c r="BH18" s="11"/>
    </row>
    <row r="19" spans="1:67" s="9" customFormat="1" x14ac:dyDescent="0.25">
      <c r="A19" s="16" t="s">
        <v>20</v>
      </c>
      <c r="B19" s="16"/>
      <c r="C19" s="12"/>
      <c r="D19" s="12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4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AX19" s="11"/>
      <c r="AY19" s="11"/>
      <c r="AZ19" s="11"/>
      <c r="BA19" s="11"/>
      <c r="BB19" s="11"/>
      <c r="BC19" s="11"/>
      <c r="BD19" s="11"/>
      <c r="BE19" s="11"/>
      <c r="BF19" s="39"/>
      <c r="BG19" s="11"/>
      <c r="BH19" s="11"/>
    </row>
    <row r="20" spans="1:67" x14ac:dyDescent="0.25">
      <c r="L20" s="15"/>
      <c r="Q20" s="1"/>
      <c r="R20" s="10"/>
      <c r="Y20" s="10" t="s">
        <v>28</v>
      </c>
      <c r="Z20" s="10" t="s">
        <v>28</v>
      </c>
      <c r="AA20" s="10" t="s">
        <v>28</v>
      </c>
      <c r="BF20" s="15"/>
    </row>
    <row r="21" spans="1:67" x14ac:dyDescent="0.25">
      <c r="A21" s="18" t="s">
        <v>23</v>
      </c>
      <c r="B21" s="18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15"/>
      <c r="R21" s="2"/>
      <c r="S21" s="2"/>
      <c r="T21" s="2"/>
      <c r="U21" s="2"/>
      <c r="V21" s="15"/>
      <c r="W21" s="15"/>
      <c r="X21" s="15"/>
      <c r="Y21" s="18" t="s">
        <v>27</v>
      </c>
      <c r="Z21" s="18" t="s">
        <v>29</v>
      </c>
      <c r="AA21" s="18" t="s">
        <v>30</v>
      </c>
      <c r="AB21" s="26"/>
      <c r="AD21" s="18" t="s">
        <v>14</v>
      </c>
      <c r="AE21" s="2"/>
      <c r="AF21" s="20" t="s">
        <v>17</v>
      </c>
      <c r="AG21" s="2"/>
      <c r="AH21" s="18" t="s">
        <v>16</v>
      </c>
      <c r="AO21" s="18" t="s">
        <v>60</v>
      </c>
      <c r="AP21" s="18"/>
      <c r="AQ21" s="2"/>
      <c r="AR21" s="2"/>
      <c r="AS21" s="2"/>
      <c r="AW21" s="18" t="s">
        <v>61</v>
      </c>
      <c r="AX21" s="18"/>
      <c r="AY21" s="2"/>
      <c r="AZ21" s="2"/>
      <c r="BA21" s="2"/>
      <c r="BB21" s="13"/>
      <c r="BD21" s="2"/>
      <c r="BF21" s="15"/>
      <c r="BG21" s="2"/>
      <c r="BH21" s="2"/>
      <c r="BI21" s="15"/>
      <c r="BJ21" s="15"/>
      <c r="BK21" s="15"/>
      <c r="BL21" s="15"/>
      <c r="BM21" s="15"/>
      <c r="BN21" s="15"/>
      <c r="BO21" s="15"/>
    </row>
    <row r="22" spans="1:67" ht="18.75" x14ac:dyDescent="0.35">
      <c r="A22" s="18" t="s">
        <v>0</v>
      </c>
      <c r="B22" s="18"/>
      <c r="C22" s="18" t="s">
        <v>12</v>
      </c>
      <c r="D22" s="18"/>
      <c r="E22" s="18" t="s">
        <v>13</v>
      </c>
      <c r="F22" s="18" t="s">
        <v>1</v>
      </c>
      <c r="G22" s="18" t="s">
        <v>19</v>
      </c>
      <c r="H22" s="18" t="s">
        <v>2</v>
      </c>
      <c r="I22" s="18" t="s">
        <v>3</v>
      </c>
      <c r="J22" s="18" t="s">
        <v>4</v>
      </c>
      <c r="K22" s="18" t="s">
        <v>15</v>
      </c>
      <c r="L22" s="18" t="s">
        <v>33</v>
      </c>
      <c r="M22" s="18" t="s">
        <v>34</v>
      </c>
      <c r="N22" s="18" t="s">
        <v>35</v>
      </c>
      <c r="O22" s="18" t="s">
        <v>9</v>
      </c>
      <c r="P22" s="18" t="s">
        <v>40</v>
      </c>
      <c r="Q22" s="26"/>
      <c r="R22" s="18" t="s">
        <v>43</v>
      </c>
      <c r="S22" s="18" t="s">
        <v>41</v>
      </c>
      <c r="T22" s="21" t="s">
        <v>42</v>
      </c>
      <c r="U22" s="21" t="s">
        <v>44</v>
      </c>
      <c r="V22" s="41" t="s">
        <v>46</v>
      </c>
      <c r="W22" s="33"/>
      <c r="X22" s="35" t="s">
        <v>32</v>
      </c>
      <c r="Y22" s="34">
        <v>-1.016508318336248E-2</v>
      </c>
      <c r="Z22" s="34"/>
      <c r="AA22" s="34"/>
      <c r="AB22" s="33"/>
      <c r="AD22" s="19"/>
      <c r="AE22" s="19"/>
      <c r="AF22" s="19"/>
      <c r="AG22" s="19"/>
      <c r="AH22" s="19"/>
      <c r="AO22" s="2"/>
      <c r="AP22" s="18" t="s">
        <v>48</v>
      </c>
      <c r="AQ22" s="18"/>
      <c r="AR22" s="18" t="s">
        <v>47</v>
      </c>
      <c r="AS22" s="18"/>
      <c r="AT22" s="10"/>
      <c r="AU22" s="10"/>
      <c r="AW22" s="2"/>
      <c r="AX22" s="18" t="s">
        <v>48</v>
      </c>
      <c r="AY22" s="18"/>
      <c r="AZ22" s="18" t="s">
        <v>47</v>
      </c>
      <c r="BA22" s="18"/>
      <c r="BB22" s="10"/>
      <c r="BD22" s="2" t="s">
        <v>59</v>
      </c>
      <c r="BF22" s="15"/>
      <c r="BG22" s="2" t="s">
        <v>62</v>
      </c>
      <c r="BH22" s="2" t="s">
        <v>63</v>
      </c>
      <c r="BI22" s="15"/>
      <c r="BJ22" s="15"/>
      <c r="BK22" s="15"/>
      <c r="BL22" s="15"/>
      <c r="BM22" s="15"/>
      <c r="BN22" s="15"/>
      <c r="BO22" s="15"/>
    </row>
    <row r="23" spans="1:67" ht="18" x14ac:dyDescent="0.35">
      <c r="A23" s="24">
        <v>0</v>
      </c>
      <c r="C23" s="24">
        <v>1.2695768077307583E-3</v>
      </c>
      <c r="D23" s="24">
        <f>C23/2</f>
        <v>6.3478840386537914E-4</v>
      </c>
      <c r="E23" s="24">
        <f>C23-$C$23</f>
        <v>0</v>
      </c>
      <c r="F23" s="24">
        <f>E23+($F$2*9.81)</f>
        <v>7.7499000000000012E-2</v>
      </c>
      <c r="G23" s="24">
        <v>7050.06</v>
      </c>
      <c r="H23" s="24">
        <f>G23/1000</f>
        <v>7.0500600000000002</v>
      </c>
      <c r="I23" s="32">
        <f>H23*$F$5</f>
        <v>167.43892500000001</v>
      </c>
      <c r="J23" s="24">
        <f>F23/I23</f>
        <v>4.6284936432791841E-4</v>
      </c>
      <c r="K23" s="24">
        <f>J23*1000</f>
        <v>0.4628493643279184</v>
      </c>
      <c r="L23" s="22">
        <v>267183.28000000003</v>
      </c>
      <c r="M23" s="32">
        <f>(L23*$F$6)/1000</f>
        <v>154.43193583999999</v>
      </c>
      <c r="N23" s="32">
        <f>M23*($F$5/$F$14)</f>
        <v>442.60571421330945</v>
      </c>
      <c r="O23" s="24">
        <f>SQRT((4*$F$8*F23)/(2*3.14*$F$10*N23))</f>
        <v>7.1512423861447694E-6</v>
      </c>
      <c r="P23" s="32">
        <f>2*O23*N23</f>
        <v>6.3303614876641942E-3</v>
      </c>
      <c r="Q23" s="15"/>
      <c r="R23" s="24">
        <f>(H23/$F$8)*$F$5</f>
        <v>24990.88432835821</v>
      </c>
      <c r="S23" s="24">
        <f>SQRT((4*$F$8*F23)/(2*3.14*$F$10*R23))</f>
        <v>9.5169808291198763E-7</v>
      </c>
      <c r="T23" s="33">
        <f t="shared" ref="T23:T36" si="0">2*S23*R23</f>
        <v>4.756755341114749E-2</v>
      </c>
      <c r="U23" s="33">
        <f>N23/R23</f>
        <v>1.7710686360588934E-2</v>
      </c>
      <c r="V23" s="33">
        <f>U23*100</f>
        <v>1.7710686360588934</v>
      </c>
      <c r="W23" s="15"/>
      <c r="X23" s="15"/>
      <c r="Y23" s="24">
        <v>0.46400000000000002</v>
      </c>
      <c r="Z23" s="24">
        <f>Y23-$Y$22</f>
        <v>0.47416508318336248</v>
      </c>
      <c r="AA23" s="24">
        <f>Z23/2</f>
        <v>0.23708254159168124</v>
      </c>
      <c r="AB23" s="27"/>
      <c r="AC23" s="27"/>
      <c r="AD23" s="32">
        <f t="shared" ref="AD23:AD36" si="1">AA23/F23</f>
        <v>3.0591690420738487</v>
      </c>
      <c r="AF23" s="32">
        <f>AA23/P23</f>
        <v>37.451659285757636</v>
      </c>
      <c r="AH23">
        <f>P23*16.5</f>
        <v>0.1044509645464592</v>
      </c>
      <c r="AO23" s="10" t="s">
        <v>55</v>
      </c>
      <c r="AP23">
        <v>0.69899999999999995</v>
      </c>
      <c r="AR23">
        <v>0.64039999999999997</v>
      </c>
      <c r="AS23">
        <v>0.75770000000000004</v>
      </c>
      <c r="AW23" s="46" t="s">
        <v>57</v>
      </c>
      <c r="AX23">
        <v>3.9140000000000001E-2</v>
      </c>
      <c r="AZ23">
        <v>3.7789999999999997E-2</v>
      </c>
      <c r="BA23">
        <v>4.0480000000000002E-2</v>
      </c>
      <c r="BD23">
        <f>AP23/AX23</f>
        <v>17.858967807869185</v>
      </c>
      <c r="BF23" s="15"/>
      <c r="BG23" s="15">
        <f>$AP$23*(F23^$AP$24)</f>
        <v>0.11100070029826552</v>
      </c>
      <c r="BH23" s="15">
        <f>$AX$23*(F23^$AX$24)</f>
        <v>5.8185290059284247E-3</v>
      </c>
      <c r="BI23" s="15"/>
      <c r="BJ23" s="15"/>
      <c r="BK23" s="15"/>
      <c r="BL23" s="15"/>
      <c r="BM23" s="15"/>
      <c r="BN23" s="15"/>
      <c r="BO23" s="15"/>
    </row>
    <row r="24" spans="1:67" ht="18" x14ac:dyDescent="0.35">
      <c r="A24" s="24">
        <v>1</v>
      </c>
      <c r="B24" s="13"/>
      <c r="C24" s="24">
        <v>0.77438620459846408</v>
      </c>
      <c r="D24" s="24">
        <f t="shared" ref="D24:D36" si="2">C24/2</f>
        <v>0.38719310229923204</v>
      </c>
      <c r="E24" s="24">
        <f t="shared" ref="E24:E36" si="3">C24-$C$23</f>
        <v>0.77311662779073331</v>
      </c>
      <c r="F24" s="24">
        <f t="shared" ref="F24:F36" si="4">E24+($F$2*9.81)</f>
        <v>0.8506156277907333</v>
      </c>
      <c r="G24" s="24">
        <v>7050.06</v>
      </c>
      <c r="H24" s="24">
        <f t="shared" ref="H24:H36" si="5">G24/1000</f>
        <v>7.0500600000000002</v>
      </c>
      <c r="I24" s="33">
        <f t="shared" ref="I24:I36" si="6">H24*$F$5</f>
        <v>167.43892500000001</v>
      </c>
      <c r="J24" s="24">
        <f t="shared" ref="J24:J36" si="7">F24/I24</f>
        <v>5.0801546163219413E-3</v>
      </c>
      <c r="K24" s="24">
        <f t="shared" ref="K24:K36" si="8">J24*1000</f>
        <v>5.0801546163219413</v>
      </c>
      <c r="L24" s="22">
        <v>641395.19000000006</v>
      </c>
      <c r="M24" s="33">
        <f t="shared" ref="M24:M36" si="9">(L24*$F$6)/1000</f>
        <v>370.72641981999999</v>
      </c>
      <c r="N24" s="33">
        <f t="shared" ref="N24:N36" si="10">M24*($F$5/$F$14)</f>
        <v>1062.511008035126</v>
      </c>
      <c r="O24" s="24">
        <f t="shared" ref="O24:O35" si="11">SQRT((4*$F$8*F24)/(2*3.14*$F$10*N24))</f>
        <v>1.529121226258868E-5</v>
      </c>
      <c r="P24" s="33">
        <f t="shared" ref="P24:P35" si="12">2*O24*N24</f>
        <v>3.249416271040436E-2</v>
      </c>
      <c r="Q24" s="15"/>
      <c r="R24" s="24">
        <f t="shared" ref="R24:R87" si="13">(H24/$F$8)*$F$5</f>
        <v>24990.88432835821</v>
      </c>
      <c r="S24" s="24">
        <f t="shared" ref="S24:S87" si="14">SQRT((4*$F$8*F24)/(2*3.14*$F$10*R24))</f>
        <v>3.152955373644141E-6</v>
      </c>
      <c r="T24" s="33">
        <f t="shared" si="0"/>
        <v>0.15759028607043232</v>
      </c>
      <c r="U24" s="33">
        <f t="shared" ref="U24:U87" si="15">N24/R24</f>
        <v>4.2515942776360657E-2</v>
      </c>
      <c r="V24" s="33">
        <f t="shared" ref="V24:V87" si="16">U24*100</f>
        <v>4.251594277636066</v>
      </c>
      <c r="W24" s="15"/>
      <c r="X24" s="15"/>
      <c r="Y24" s="24">
        <v>1.4670000000000001</v>
      </c>
      <c r="Z24" s="24">
        <f t="shared" ref="Z24:Z35" si="17">Y24-$Y$22</f>
        <v>1.4771650831833625</v>
      </c>
      <c r="AA24" s="24">
        <f t="shared" ref="AA24:AA35" si="18">Z24/2</f>
        <v>0.73858254159168124</v>
      </c>
      <c r="AB24" s="27"/>
      <c r="AD24" s="33">
        <f t="shared" si="1"/>
        <v>0.86829176123882101</v>
      </c>
      <c r="AF24" s="33">
        <f t="shared" ref="AF24:AF36" si="19">AA24/P24</f>
        <v>22.729699120857582</v>
      </c>
      <c r="AH24" s="13">
        <f t="shared" ref="AH24:AH36" si="20">P24*16.5</f>
        <v>0.53615368472167191</v>
      </c>
      <c r="AK24" s="13"/>
      <c r="AO24" s="10" t="s">
        <v>56</v>
      </c>
      <c r="AP24">
        <v>0.71950000000000003</v>
      </c>
      <c r="AR24">
        <v>0.69550000000000001</v>
      </c>
      <c r="AS24">
        <v>0.74350000000000005</v>
      </c>
      <c r="AW24" s="46" t="s">
        <v>58</v>
      </c>
      <c r="AX24">
        <v>0.74529999999999996</v>
      </c>
      <c r="AZ24">
        <v>0.73550000000000004</v>
      </c>
      <c r="BA24">
        <v>0.75509999999999999</v>
      </c>
      <c r="BF24" s="15"/>
      <c r="BG24" s="15">
        <f t="shared" ref="BG24:BG36" si="21">$AP$23*(F24^$AP$24)</f>
        <v>0.62218613143721369</v>
      </c>
      <c r="BH24" s="15">
        <f t="shared" ref="BH24:BH36" si="22">$AX$23*(F24^$AX$24)</f>
        <v>3.4693737853883119E-2</v>
      </c>
    </row>
    <row r="25" spans="1:67" x14ac:dyDescent="0.25">
      <c r="A25" s="24">
        <v>2</v>
      </c>
      <c r="B25" s="13"/>
      <c r="C25" s="24">
        <v>1.5780749750083356</v>
      </c>
      <c r="D25" s="24">
        <f t="shared" si="2"/>
        <v>0.7890374875041678</v>
      </c>
      <c r="E25" s="24">
        <f t="shared" si="3"/>
        <v>1.5768053982006049</v>
      </c>
      <c r="F25" s="24">
        <f t="shared" si="4"/>
        <v>1.6543043982006049</v>
      </c>
      <c r="G25" s="24">
        <v>7072.41</v>
      </c>
      <c r="H25" s="24">
        <f t="shared" si="5"/>
        <v>7.0724099999999996</v>
      </c>
      <c r="I25" s="33">
        <f t="shared" si="6"/>
        <v>167.96973749999998</v>
      </c>
      <c r="J25" s="24">
        <f t="shared" si="7"/>
        <v>9.8488240966656572E-3</v>
      </c>
      <c r="K25" s="24">
        <f t="shared" si="8"/>
        <v>9.8488240966656573</v>
      </c>
      <c r="L25" s="22">
        <v>896782.81</v>
      </c>
      <c r="M25" s="33">
        <f t="shared" si="9"/>
        <v>518.34046418000003</v>
      </c>
      <c r="N25" s="33">
        <f t="shared" si="10"/>
        <v>1485.5764781174505</v>
      </c>
      <c r="O25" s="24">
        <f t="shared" si="11"/>
        <v>1.8034419280111841E-5</v>
      </c>
      <c r="P25" s="33">
        <f t="shared" si="12"/>
        <v>5.3583018158083993E-2</v>
      </c>
      <c r="Q25" s="15"/>
      <c r="R25" s="24">
        <f t="shared" si="13"/>
        <v>25070.110074626864</v>
      </c>
      <c r="S25" s="24">
        <f t="shared" si="14"/>
        <v>4.3900710507795637E-6</v>
      </c>
      <c r="T25" s="33">
        <f t="shared" si="0"/>
        <v>0.22011912895695296</v>
      </c>
      <c r="U25" s="33">
        <f t="shared" si="15"/>
        <v>5.9256878956466308E-2</v>
      </c>
      <c r="V25" s="33">
        <f t="shared" si="16"/>
        <v>5.9256878956466306</v>
      </c>
      <c r="W25" s="15"/>
      <c r="X25" s="15"/>
      <c r="Y25" s="24">
        <v>2.2999999999999998</v>
      </c>
      <c r="Z25" s="24">
        <f t="shared" si="17"/>
        <v>2.3101650831833624</v>
      </c>
      <c r="AA25" s="24">
        <f t="shared" si="18"/>
        <v>1.1550825415916812</v>
      </c>
      <c r="AB25" s="27"/>
      <c r="AD25" s="33">
        <f t="shared" si="1"/>
        <v>0.69822853813848906</v>
      </c>
      <c r="AF25" s="33">
        <f t="shared" si="19"/>
        <v>21.556877184183318</v>
      </c>
      <c r="AH25" s="13">
        <f t="shared" si="20"/>
        <v>0.88411979960838594</v>
      </c>
      <c r="AK25" s="13"/>
      <c r="BG25" s="15">
        <f t="shared" si="21"/>
        <v>1.004086142991133</v>
      </c>
      <c r="BH25" s="15">
        <f t="shared" si="22"/>
        <v>5.6958021751987657E-2</v>
      </c>
    </row>
    <row r="26" spans="1:67" x14ac:dyDescent="0.25">
      <c r="A26" s="24">
        <v>3</v>
      </c>
      <c r="B26" s="13"/>
      <c r="C26" s="24">
        <v>3.2290726424525049</v>
      </c>
      <c r="D26" s="24">
        <f t="shared" si="2"/>
        <v>1.6145363212262525</v>
      </c>
      <c r="E26" s="24">
        <f t="shared" si="3"/>
        <v>3.2278030656447743</v>
      </c>
      <c r="F26" s="24">
        <f t="shared" si="4"/>
        <v>3.3053020656447742</v>
      </c>
      <c r="G26" s="24">
        <v>7104.78</v>
      </c>
      <c r="H26" s="24">
        <f t="shared" si="5"/>
        <v>7.1047799999999999</v>
      </c>
      <c r="I26" s="33">
        <f t="shared" si="6"/>
        <v>168.73852500000001</v>
      </c>
      <c r="J26" s="24">
        <f t="shared" si="7"/>
        <v>1.9588307208711075E-2</v>
      </c>
      <c r="K26" s="24">
        <f t="shared" si="8"/>
        <v>19.588307208711075</v>
      </c>
      <c r="L26" s="22">
        <v>1235324.3099999998</v>
      </c>
      <c r="M26" s="33">
        <f t="shared" si="9"/>
        <v>714.01745117999985</v>
      </c>
      <c r="N26" s="33">
        <f>M26*($F$5/$F$14)</f>
        <v>2046.3915201303525</v>
      </c>
      <c r="O26" s="24">
        <f t="shared" si="11"/>
        <v>2.1719667430137023E-5</v>
      </c>
      <c r="P26" s="33">
        <f t="shared" si="12"/>
        <v>8.8893886498167624E-2</v>
      </c>
      <c r="Q26" s="15"/>
      <c r="R26" s="24">
        <f t="shared" si="13"/>
        <v>25184.854477611942</v>
      </c>
      <c r="S26" s="24">
        <f t="shared" si="14"/>
        <v>6.1912424580466696E-6</v>
      </c>
      <c r="T26" s="33">
        <f t="shared" si="0"/>
        <v>0.31185108068303569</v>
      </c>
      <c r="U26" s="33">
        <f t="shared" si="15"/>
        <v>8.1254847906684982E-2</v>
      </c>
      <c r="V26" s="33">
        <f t="shared" si="16"/>
        <v>8.1254847906684979</v>
      </c>
      <c r="W26" s="15"/>
      <c r="X26" s="15"/>
      <c r="Y26" s="24">
        <v>3.46</v>
      </c>
      <c r="Z26" s="24">
        <f t="shared" si="17"/>
        <v>3.4701650831833626</v>
      </c>
      <c r="AA26" s="24">
        <f t="shared" si="18"/>
        <v>1.7350825415916813</v>
      </c>
      <c r="AB26" s="27"/>
      <c r="AD26" s="33">
        <f t="shared" si="1"/>
        <v>0.52493917564330506</v>
      </c>
      <c r="AF26" s="33">
        <f t="shared" si="19"/>
        <v>19.518581197678277</v>
      </c>
      <c r="AH26" s="13">
        <f t="shared" si="20"/>
        <v>1.4667491272197657</v>
      </c>
      <c r="AK26" s="13"/>
      <c r="BG26" s="15">
        <f t="shared" si="21"/>
        <v>1.6521504834330427</v>
      </c>
      <c r="BH26" s="15">
        <f t="shared" si="22"/>
        <v>9.5408901408263941E-2</v>
      </c>
    </row>
    <row r="27" spans="1:67" x14ac:dyDescent="0.25">
      <c r="A27" s="24">
        <v>4</v>
      </c>
      <c r="B27" s="13"/>
      <c r="C27" s="24">
        <v>4.7697677440853008</v>
      </c>
      <c r="D27" s="24">
        <f t="shared" si="2"/>
        <v>2.3848838720426504</v>
      </c>
      <c r="E27" s="24">
        <f t="shared" si="3"/>
        <v>4.7684981672775697</v>
      </c>
      <c r="F27" s="24">
        <f t="shared" si="4"/>
        <v>4.8459971672775701</v>
      </c>
      <c r="G27" s="24">
        <v>7140.23</v>
      </c>
      <c r="H27" s="24">
        <f t="shared" si="5"/>
        <v>7.1402299999999999</v>
      </c>
      <c r="I27" s="33">
        <f t="shared" si="6"/>
        <v>169.58046250000001</v>
      </c>
      <c r="J27" s="24">
        <f t="shared" si="7"/>
        <v>2.8576388434354987E-2</v>
      </c>
      <c r="K27" s="24">
        <f t="shared" si="8"/>
        <v>28.576388434354985</v>
      </c>
      <c r="L27" s="22">
        <v>1614310.4599999995</v>
      </c>
      <c r="M27" s="33">
        <f t="shared" si="9"/>
        <v>933.07144587999971</v>
      </c>
      <c r="N27" s="33">
        <f t="shared" si="10"/>
        <v>2674.2056393286134</v>
      </c>
      <c r="O27" s="24">
        <f t="shared" si="11"/>
        <v>2.3005736177626354E-5</v>
      </c>
      <c r="P27" s="33">
        <f t="shared" si="12"/>
        <v>0.12304413884622939</v>
      </c>
      <c r="Q27" s="15"/>
      <c r="R27" s="24">
        <f t="shared" si="13"/>
        <v>25310.516791044778</v>
      </c>
      <c r="S27" s="24">
        <f t="shared" si="14"/>
        <v>7.4779581263044501E-6</v>
      </c>
      <c r="T27" s="33">
        <f t="shared" si="0"/>
        <v>0.37854196943711704</v>
      </c>
      <c r="U27" s="33">
        <f t="shared" si="15"/>
        <v>0.10565590823000444</v>
      </c>
      <c r="V27" s="33">
        <f t="shared" si="16"/>
        <v>10.565590823000443</v>
      </c>
      <c r="W27" s="15"/>
      <c r="X27" s="15"/>
      <c r="Y27" s="24">
        <v>4.55</v>
      </c>
      <c r="Z27" s="24">
        <f t="shared" si="17"/>
        <v>4.560165083183362</v>
      </c>
      <c r="AA27" s="24">
        <f t="shared" si="18"/>
        <v>2.280082541591681</v>
      </c>
      <c r="AB27" s="27"/>
      <c r="AD27" s="33">
        <f t="shared" si="1"/>
        <v>0.47050843467013564</v>
      </c>
      <c r="AF27" s="33">
        <f t="shared" si="19"/>
        <v>18.530606682868036</v>
      </c>
      <c r="AH27" s="13">
        <f t="shared" si="20"/>
        <v>2.0302282909627851</v>
      </c>
      <c r="AK27" s="13"/>
      <c r="BG27" s="15">
        <f t="shared" si="21"/>
        <v>2.175756834681335</v>
      </c>
      <c r="BH27" s="15">
        <f t="shared" si="22"/>
        <v>0.12689277278811986</v>
      </c>
    </row>
    <row r="28" spans="1:67" x14ac:dyDescent="0.25">
      <c r="A28" s="24">
        <v>5</v>
      </c>
      <c r="B28" s="13"/>
      <c r="C28" s="24">
        <v>6.4567004331889581</v>
      </c>
      <c r="D28" s="24">
        <f t="shared" si="2"/>
        <v>3.2283502165944791</v>
      </c>
      <c r="E28" s="24">
        <f t="shared" si="3"/>
        <v>6.455430856381227</v>
      </c>
      <c r="F28" s="24">
        <f t="shared" si="4"/>
        <v>6.5329298563812275</v>
      </c>
      <c r="G28" s="24">
        <v>7166.43</v>
      </c>
      <c r="H28" s="24">
        <f t="shared" si="5"/>
        <v>7.1664300000000001</v>
      </c>
      <c r="I28" s="33">
        <f t="shared" si="6"/>
        <v>170.20271249999999</v>
      </c>
      <c r="J28" s="24">
        <f t="shared" si="7"/>
        <v>3.838322997573395E-2</v>
      </c>
      <c r="K28" s="24">
        <f t="shared" si="8"/>
        <v>38.383229975733947</v>
      </c>
      <c r="L28" s="22">
        <v>2007216.3499999992</v>
      </c>
      <c r="M28" s="33">
        <f t="shared" si="9"/>
        <v>1160.1710502999995</v>
      </c>
      <c r="N28" s="33">
        <f t="shared" si="10"/>
        <v>3325.0786732327779</v>
      </c>
      <c r="O28" s="24">
        <f t="shared" si="11"/>
        <v>2.3954934749412176E-5</v>
      </c>
      <c r="P28" s="33">
        <f t="shared" si="12"/>
        <v>0.15930408530790641</v>
      </c>
      <c r="Q28" s="15"/>
      <c r="R28" s="24">
        <f t="shared" si="13"/>
        <v>25403.389925373136</v>
      </c>
      <c r="S28" s="24">
        <f t="shared" si="14"/>
        <v>8.6666272438007172E-6</v>
      </c>
      <c r="T28" s="33">
        <f t="shared" si="0"/>
        <v>0.44032342242426298</v>
      </c>
      <c r="U28" s="33">
        <f t="shared" si="15"/>
        <v>0.13089114023761289</v>
      </c>
      <c r="V28" s="33">
        <f t="shared" si="16"/>
        <v>13.089114023761288</v>
      </c>
      <c r="W28" s="15"/>
      <c r="X28" s="15"/>
      <c r="Y28" s="24">
        <v>5.59</v>
      </c>
      <c r="Z28" s="24">
        <f t="shared" si="17"/>
        <v>5.600165083183362</v>
      </c>
      <c r="AA28" s="24">
        <f t="shared" si="18"/>
        <v>2.800082541591681</v>
      </c>
      <c r="AB28" s="27"/>
      <c r="AD28" s="33">
        <f t="shared" si="1"/>
        <v>0.42861053205042754</v>
      </c>
      <c r="AF28" s="33">
        <f t="shared" si="19"/>
        <v>17.576966316837517</v>
      </c>
      <c r="AH28" s="13">
        <f t="shared" si="20"/>
        <v>2.6285174075804556</v>
      </c>
      <c r="AK28" s="13"/>
      <c r="BG28" s="15">
        <f t="shared" si="21"/>
        <v>2.6974125781694163</v>
      </c>
      <c r="BH28" s="15">
        <f t="shared" si="22"/>
        <v>0.15853341325300807</v>
      </c>
    </row>
    <row r="29" spans="1:67" x14ac:dyDescent="0.25">
      <c r="A29" s="24">
        <v>6</v>
      </c>
      <c r="B29" s="13"/>
      <c r="C29" s="24">
        <v>8.019856714428542</v>
      </c>
      <c r="D29" s="24">
        <f t="shared" si="2"/>
        <v>4.009928357214271</v>
      </c>
      <c r="E29" s="24">
        <f t="shared" si="3"/>
        <v>8.0185871376208109</v>
      </c>
      <c r="F29" s="24">
        <f t="shared" si="4"/>
        <v>8.0960861376208104</v>
      </c>
      <c r="G29" s="24">
        <v>7183.38</v>
      </c>
      <c r="H29" s="24">
        <f t="shared" si="5"/>
        <v>7.1833800000000005</v>
      </c>
      <c r="I29" s="33">
        <f t="shared" si="6"/>
        <v>170.60527500000001</v>
      </c>
      <c r="J29" s="24">
        <f t="shared" si="7"/>
        <v>4.7455075100232454E-2</v>
      </c>
      <c r="K29" s="24">
        <f t="shared" si="8"/>
        <v>47.455075100232456</v>
      </c>
      <c r="L29" s="22">
        <v>2355259.1199999987</v>
      </c>
      <c r="M29" s="33">
        <f t="shared" si="9"/>
        <v>1361.3397713599993</v>
      </c>
      <c r="N29" s="33">
        <f t="shared" si="10"/>
        <v>3901.6331596985046</v>
      </c>
      <c r="O29" s="24">
        <f t="shared" si="11"/>
        <v>2.4618200282125534E-5</v>
      </c>
      <c r="P29" s="33">
        <f t="shared" si="12"/>
        <v>0.19210237310568012</v>
      </c>
      <c r="Q29" s="15"/>
      <c r="R29" s="24">
        <f t="shared" si="13"/>
        <v>25463.473880597019</v>
      </c>
      <c r="S29" s="24">
        <f t="shared" si="14"/>
        <v>9.6365302977027401E-6</v>
      </c>
      <c r="T29" s="33">
        <f t="shared" si="0"/>
        <v>0.49075907507027106</v>
      </c>
      <c r="U29" s="33">
        <f t="shared" si="15"/>
        <v>0.15322470052570167</v>
      </c>
      <c r="V29" s="33">
        <f t="shared" si="16"/>
        <v>15.322470052570166</v>
      </c>
      <c r="W29" s="15"/>
      <c r="X29" s="15"/>
      <c r="Y29" s="24">
        <v>6.44</v>
      </c>
      <c r="Z29" s="24">
        <f t="shared" si="17"/>
        <v>6.4501650831833626</v>
      </c>
      <c r="AA29" s="24">
        <f t="shared" si="18"/>
        <v>3.2250825415916813</v>
      </c>
      <c r="AB29" s="27"/>
      <c r="AD29" s="33">
        <f t="shared" si="1"/>
        <v>0.3983508187499884</v>
      </c>
      <c r="AF29" s="33">
        <f t="shared" si="19"/>
        <v>16.78835346722909</v>
      </c>
      <c r="AH29" s="13">
        <f>P29*16.5</f>
        <v>3.1696891562437219</v>
      </c>
      <c r="AK29" s="13"/>
      <c r="BG29" s="15">
        <f t="shared" si="21"/>
        <v>3.1476115096895922</v>
      </c>
      <c r="BH29" s="15">
        <f t="shared" si="22"/>
        <v>0.18601941248125847</v>
      </c>
    </row>
    <row r="30" spans="1:67" x14ac:dyDescent="0.25">
      <c r="A30" s="24">
        <v>7</v>
      </c>
      <c r="B30" s="13"/>
      <c r="C30" s="24">
        <v>11.985724425191593</v>
      </c>
      <c r="D30" s="24">
        <f t="shared" si="2"/>
        <v>5.9928622125957967</v>
      </c>
      <c r="E30" s="24">
        <f t="shared" si="3"/>
        <v>11.984454848383862</v>
      </c>
      <c r="F30" s="24">
        <f t="shared" si="4"/>
        <v>12.061953848383862</v>
      </c>
      <c r="G30" s="24">
        <v>7223.46</v>
      </c>
      <c r="H30" s="24">
        <f t="shared" si="5"/>
        <v>7.2234600000000002</v>
      </c>
      <c r="I30" s="33">
        <f t="shared" si="6"/>
        <v>171.557175</v>
      </c>
      <c r="J30" s="24">
        <f t="shared" si="7"/>
        <v>7.0308652776451125E-2</v>
      </c>
      <c r="K30" s="24">
        <f t="shared" si="8"/>
        <v>70.308652776451126</v>
      </c>
      <c r="L30" s="22">
        <v>2727051.0799999996</v>
      </c>
      <c r="M30" s="33">
        <f t="shared" si="9"/>
        <v>1576.2355242399997</v>
      </c>
      <c r="N30" s="33">
        <f t="shared" si="10"/>
        <v>4517.5296558960454</v>
      </c>
      <c r="O30" s="24">
        <f t="shared" si="11"/>
        <v>2.7925456572509435E-5</v>
      </c>
      <c r="P30" s="33">
        <f t="shared" si="12"/>
        <v>0.25230815644149701</v>
      </c>
      <c r="Q30" s="15"/>
      <c r="R30" s="24">
        <f t="shared" si="13"/>
        <v>25605.548507462685</v>
      </c>
      <c r="S30" s="24">
        <f t="shared" si="14"/>
        <v>1.1729614709740913E-5</v>
      </c>
      <c r="T30" s="33">
        <f t="shared" si="0"/>
        <v>0.60068643684823753</v>
      </c>
      <c r="U30" s="33">
        <f t="shared" si="15"/>
        <v>0.17642776348178679</v>
      </c>
      <c r="V30" s="33">
        <f t="shared" si="16"/>
        <v>17.642776348178678</v>
      </c>
      <c r="W30" s="15"/>
      <c r="X30" s="15"/>
      <c r="Y30" s="24">
        <v>8.2100000000000009</v>
      </c>
      <c r="Z30" s="24">
        <f t="shared" si="17"/>
        <v>8.2201650831833639</v>
      </c>
      <c r="AA30" s="24">
        <f t="shared" si="18"/>
        <v>4.110082541591682</v>
      </c>
      <c r="AB30" s="27"/>
      <c r="AD30" s="33">
        <f t="shared" si="1"/>
        <v>0.34074765939702029</v>
      </c>
      <c r="AF30" s="33">
        <f t="shared" si="19"/>
        <v>16.289931326673901</v>
      </c>
      <c r="AH30" s="13">
        <f t="shared" si="20"/>
        <v>4.1630845812847008</v>
      </c>
      <c r="AK30" s="13"/>
      <c r="BG30" s="15">
        <f t="shared" si="21"/>
        <v>4.1933120669183639</v>
      </c>
      <c r="BH30" s="15">
        <f t="shared" si="22"/>
        <v>0.25038102046722494</v>
      </c>
    </row>
    <row r="31" spans="1:67" x14ac:dyDescent="0.25">
      <c r="A31" s="24">
        <v>8</v>
      </c>
      <c r="B31" s="13"/>
      <c r="C31" s="24">
        <v>18.460152282572491</v>
      </c>
      <c r="D31" s="24">
        <f t="shared" si="2"/>
        <v>9.2300761412862453</v>
      </c>
      <c r="E31" s="24">
        <f t="shared" si="3"/>
        <v>18.458882705764761</v>
      </c>
      <c r="F31" s="24">
        <f t="shared" si="4"/>
        <v>18.536381705764761</v>
      </c>
      <c r="G31" s="24">
        <v>7270.66</v>
      </c>
      <c r="H31" s="24">
        <f t="shared" si="5"/>
        <v>7.2706599999999995</v>
      </c>
      <c r="I31" s="33">
        <f t="shared" si="6"/>
        <v>172.67817499999998</v>
      </c>
      <c r="J31" s="24">
        <f t="shared" si="7"/>
        <v>0.10734640730228219</v>
      </c>
      <c r="K31" s="24">
        <f t="shared" si="8"/>
        <v>107.34640730228219</v>
      </c>
      <c r="L31" s="22">
        <v>3323667.4599999986</v>
      </c>
      <c r="M31" s="33">
        <f t="shared" si="9"/>
        <v>1921.079791879999</v>
      </c>
      <c r="N31" s="33">
        <f t="shared" si="10"/>
        <v>5505.8617812493185</v>
      </c>
      <c r="O31" s="24">
        <f t="shared" si="11"/>
        <v>3.1357525705516098E-5</v>
      </c>
      <c r="P31" s="33">
        <f t="shared" si="12"/>
        <v>0.34530040467308831</v>
      </c>
      <c r="Q31" s="15"/>
      <c r="R31" s="24">
        <f t="shared" si="13"/>
        <v>25772.861940298506</v>
      </c>
      <c r="S31" s="24">
        <f t="shared" si="14"/>
        <v>1.4493494686571295E-5</v>
      </c>
      <c r="T31" s="33">
        <f t="shared" si="0"/>
        <v>0.74707767517890389</v>
      </c>
      <c r="U31" s="33">
        <f t="shared" si="15"/>
        <v>0.21363020505845881</v>
      </c>
      <c r="V31" s="33">
        <f t="shared" si="16"/>
        <v>21.363020505845881</v>
      </c>
      <c r="W31" s="15"/>
      <c r="X31" s="15"/>
      <c r="Y31" s="24">
        <v>10.95</v>
      </c>
      <c r="Z31" s="24">
        <f t="shared" si="17"/>
        <v>10.960165083183362</v>
      </c>
      <c r="AA31" s="24">
        <f t="shared" si="18"/>
        <v>5.4800825415916812</v>
      </c>
      <c r="AB31" s="27"/>
      <c r="AD31" s="33">
        <f t="shared" si="1"/>
        <v>0.29563928001587231</v>
      </c>
      <c r="AF31" s="33">
        <f t="shared" si="19"/>
        <v>15.87047819066394</v>
      </c>
      <c r="AH31" s="13">
        <f t="shared" si="20"/>
        <v>5.6974566771059569</v>
      </c>
      <c r="AK31" s="13"/>
      <c r="BG31" s="15">
        <f t="shared" si="21"/>
        <v>5.712433236381889</v>
      </c>
      <c r="BH31" s="15">
        <f t="shared" si="22"/>
        <v>0.34488938429087473</v>
      </c>
    </row>
    <row r="32" spans="1:67" x14ac:dyDescent="0.25">
      <c r="A32" s="24">
        <v>9</v>
      </c>
      <c r="B32" s="13"/>
      <c r="C32" s="24">
        <v>23.933219593468891</v>
      </c>
      <c r="D32" s="24">
        <f t="shared" si="2"/>
        <v>11.966609796734446</v>
      </c>
      <c r="E32" s="24">
        <f t="shared" si="3"/>
        <v>23.931950016661162</v>
      </c>
      <c r="F32" s="24">
        <f t="shared" si="4"/>
        <v>24.009449016661161</v>
      </c>
      <c r="G32" s="24">
        <v>7326.73</v>
      </c>
      <c r="H32" s="24">
        <f t="shared" si="5"/>
        <v>7.3267299999999995</v>
      </c>
      <c r="I32" s="33">
        <f t="shared" si="6"/>
        <v>174.00983749999997</v>
      </c>
      <c r="J32" s="24">
        <f t="shared" si="7"/>
        <v>0.13797753829096682</v>
      </c>
      <c r="K32" s="24">
        <f t="shared" si="8"/>
        <v>137.97753829096681</v>
      </c>
      <c r="L32" s="22">
        <v>3781609.3899999983</v>
      </c>
      <c r="M32" s="33">
        <f t="shared" si="9"/>
        <v>2185.7702274199992</v>
      </c>
      <c r="N32" s="33">
        <f t="shared" si="10"/>
        <v>6264.4710587305726</v>
      </c>
      <c r="O32" s="24">
        <f t="shared" si="11"/>
        <v>3.3457296923169735E-5</v>
      </c>
      <c r="P32" s="33">
        <f t="shared" si="12"/>
        <v>0.41918453655710447</v>
      </c>
      <c r="Q32" s="15"/>
      <c r="R32" s="24">
        <f t="shared" si="13"/>
        <v>25971.617537313432</v>
      </c>
      <c r="S32" s="24">
        <f t="shared" si="14"/>
        <v>1.6431740013383697E-5</v>
      </c>
      <c r="T32" s="33">
        <f t="shared" si="0"/>
        <v>0.85351773420034172</v>
      </c>
      <c r="U32" s="33">
        <f t="shared" si="15"/>
        <v>0.24120450140351885</v>
      </c>
      <c r="V32" s="33">
        <f t="shared" si="16"/>
        <v>24.120450140351885</v>
      </c>
      <c r="W32" s="15"/>
      <c r="X32" s="15"/>
      <c r="Y32" s="24">
        <v>13.44</v>
      </c>
      <c r="Z32" s="24">
        <f t="shared" si="17"/>
        <v>13.450165083183363</v>
      </c>
      <c r="AA32" s="24">
        <f t="shared" si="18"/>
        <v>6.7250825415916813</v>
      </c>
      <c r="AB32" s="27"/>
      <c r="AD32" s="33">
        <f t="shared" si="1"/>
        <v>0.28010149407947116</v>
      </c>
      <c r="AF32" s="33">
        <f t="shared" si="19"/>
        <v>16.043250537882233</v>
      </c>
      <c r="AH32" s="13">
        <f t="shared" si="20"/>
        <v>6.9165448531922236</v>
      </c>
      <c r="AK32" s="13"/>
      <c r="BG32" s="15">
        <f t="shared" si="21"/>
        <v>6.8811680488908777</v>
      </c>
      <c r="BH32" s="15">
        <f t="shared" si="22"/>
        <v>0.41823432238055841</v>
      </c>
    </row>
    <row r="33" spans="1:60" x14ac:dyDescent="0.25">
      <c r="A33" s="24">
        <v>10</v>
      </c>
      <c r="B33" s="13"/>
      <c r="C33" s="24">
        <v>30.217514495168487</v>
      </c>
      <c r="D33" s="24">
        <f t="shared" si="2"/>
        <v>15.108757247584244</v>
      </c>
      <c r="E33" s="24">
        <f>C33-$C$23</f>
        <v>30.216244918360758</v>
      </c>
      <c r="F33" s="24">
        <f t="shared" si="4"/>
        <v>30.293743918360757</v>
      </c>
      <c r="G33" s="24">
        <v>7416.89</v>
      </c>
      <c r="H33" s="24">
        <f t="shared" si="5"/>
        <v>7.4168900000000004</v>
      </c>
      <c r="I33" s="33">
        <f t="shared" si="6"/>
        <v>176.1511375</v>
      </c>
      <c r="J33" s="24">
        <f t="shared" si="7"/>
        <v>0.17197586316103555</v>
      </c>
      <c r="K33" s="24">
        <f t="shared" si="8"/>
        <v>171.97586316103556</v>
      </c>
      <c r="L33" s="22">
        <v>4242548.6199999992</v>
      </c>
      <c r="M33" s="33">
        <f t="shared" si="9"/>
        <v>2452.1931023599996</v>
      </c>
      <c r="N33" s="33">
        <f t="shared" si="10"/>
        <v>7028.0455500051885</v>
      </c>
      <c r="O33" s="24">
        <f t="shared" si="11"/>
        <v>3.5481432752402633E-5</v>
      </c>
      <c r="P33" s="33">
        <f t="shared" si="12"/>
        <v>0.49873025112666336</v>
      </c>
      <c r="Q33" s="15"/>
      <c r="R33" s="24">
        <f t="shared" si="13"/>
        <v>26291.214552238805</v>
      </c>
      <c r="S33" s="24">
        <f t="shared" si="14"/>
        <v>1.8344805334644474E-5</v>
      </c>
      <c r="T33" s="33">
        <f t="shared" si="0"/>
        <v>0.96461442594438573</v>
      </c>
      <c r="U33" s="33">
        <f t="shared" si="15"/>
        <v>0.26731536255356153</v>
      </c>
      <c r="V33" s="33">
        <f t="shared" si="16"/>
        <v>26.731536255356154</v>
      </c>
      <c r="W33" s="15"/>
      <c r="X33" s="15"/>
      <c r="Y33" s="24">
        <v>16.07</v>
      </c>
      <c r="Z33" s="24">
        <f t="shared" si="17"/>
        <v>16.080165083183363</v>
      </c>
      <c r="AA33" s="24">
        <f t="shared" si="18"/>
        <v>8.0400825415916817</v>
      </c>
      <c r="AB33" s="27"/>
      <c r="AD33" s="33">
        <f t="shared" si="1"/>
        <v>0.26540405713004861</v>
      </c>
      <c r="AF33" s="33">
        <f t="shared" si="19"/>
        <v>16.121104591968553</v>
      </c>
      <c r="AH33" s="13">
        <f t="shared" si="20"/>
        <v>8.2290491435899451</v>
      </c>
      <c r="AK33" s="13"/>
      <c r="BG33" s="15">
        <f t="shared" si="21"/>
        <v>8.1341209002251809</v>
      </c>
      <c r="BH33" s="15">
        <f t="shared" si="22"/>
        <v>0.49736265748388736</v>
      </c>
    </row>
    <row r="34" spans="1:60" x14ac:dyDescent="0.25">
      <c r="A34" s="24">
        <v>11</v>
      </c>
      <c r="B34" s="13"/>
      <c r="C34" s="24">
        <v>35.941299566810912</v>
      </c>
      <c r="D34" s="24">
        <f t="shared" si="2"/>
        <v>17.970649783405456</v>
      </c>
      <c r="E34" s="24">
        <f t="shared" si="3"/>
        <v>35.940029990003183</v>
      </c>
      <c r="F34" s="24">
        <f t="shared" si="4"/>
        <v>36.017528990003186</v>
      </c>
      <c r="G34" s="24">
        <v>7496.28</v>
      </c>
      <c r="H34" s="24">
        <f t="shared" si="5"/>
        <v>7.4962799999999996</v>
      </c>
      <c r="I34" s="33">
        <f t="shared" si="6"/>
        <v>178.03664999999998</v>
      </c>
      <c r="J34" s="24">
        <f t="shared" si="7"/>
        <v>0.20230401431392464</v>
      </c>
      <c r="K34" s="24">
        <f t="shared" si="8"/>
        <v>202.30401431392465</v>
      </c>
      <c r="L34" s="22">
        <v>4594481.0099999988</v>
      </c>
      <c r="M34" s="33">
        <f t="shared" si="9"/>
        <v>2655.6100237799992</v>
      </c>
      <c r="N34" s="33">
        <f t="shared" si="10"/>
        <v>7611.043433820174</v>
      </c>
      <c r="O34" s="24">
        <f t="shared" si="11"/>
        <v>3.7177211690674769E-5</v>
      </c>
      <c r="P34" s="33">
        <f t="shared" si="12"/>
        <v>0.56591474585210566</v>
      </c>
      <c r="Q34" s="15"/>
      <c r="R34" s="24">
        <f t="shared" si="13"/>
        <v>26572.634328358206</v>
      </c>
      <c r="S34" s="24">
        <f t="shared" si="14"/>
        <v>1.9896725527085774E-5</v>
      </c>
      <c r="T34" s="33">
        <f t="shared" si="0"/>
        <v>1.0574168235259209</v>
      </c>
      <c r="U34" s="33">
        <f t="shared" si="15"/>
        <v>0.28642412113795207</v>
      </c>
      <c r="V34" s="33">
        <f t="shared" si="16"/>
        <v>28.642412113795206</v>
      </c>
      <c r="W34" s="15"/>
      <c r="X34" s="15"/>
      <c r="Y34" s="24">
        <v>18.420000000000002</v>
      </c>
      <c r="Z34" s="24">
        <f t="shared" si="17"/>
        <v>18.430165083183365</v>
      </c>
      <c r="AA34" s="24">
        <f t="shared" si="18"/>
        <v>9.2150825415916824</v>
      </c>
      <c r="AB34" s="27"/>
      <c r="AD34" s="33">
        <f t="shared" si="1"/>
        <v>0.25584993751651774</v>
      </c>
      <c r="AF34" s="33">
        <f t="shared" si="19"/>
        <v>16.283517277353155</v>
      </c>
      <c r="AH34" s="13">
        <f t="shared" si="20"/>
        <v>9.337593306559743</v>
      </c>
      <c r="AK34" s="13"/>
      <c r="BG34" s="15">
        <f t="shared" si="21"/>
        <v>9.2127425962577156</v>
      </c>
      <c r="BH34" s="15">
        <f t="shared" si="22"/>
        <v>0.56583608696637633</v>
      </c>
    </row>
    <row r="35" spans="1:60" x14ac:dyDescent="0.25">
      <c r="A35" s="24">
        <v>12</v>
      </c>
      <c r="B35" s="13"/>
      <c r="C35" s="24">
        <v>42.041025991335559</v>
      </c>
      <c r="D35" s="24">
        <f t="shared" si="2"/>
        <v>21.020512995667779</v>
      </c>
      <c r="E35" s="24">
        <f t="shared" si="3"/>
        <v>42.03975641452783</v>
      </c>
      <c r="F35" s="24">
        <f t="shared" si="4"/>
        <v>42.117255414527833</v>
      </c>
      <c r="G35" s="24">
        <v>7566.41</v>
      </c>
      <c r="H35" s="24">
        <f t="shared" si="5"/>
        <v>7.5664099999999994</v>
      </c>
      <c r="I35" s="33">
        <f t="shared" si="6"/>
        <v>179.7022375</v>
      </c>
      <c r="J35" s="24">
        <f t="shared" si="7"/>
        <v>0.23437245968920023</v>
      </c>
      <c r="K35" s="24">
        <f t="shared" si="8"/>
        <v>234.37245968920024</v>
      </c>
      <c r="L35" s="22">
        <v>4951166.5199999986</v>
      </c>
      <c r="M35" s="33">
        <f t="shared" si="9"/>
        <v>2861.7742485599988</v>
      </c>
      <c r="N35" s="33">
        <f t="shared" si="10"/>
        <v>8201.9151564185649</v>
      </c>
      <c r="O35" s="24">
        <f t="shared" si="11"/>
        <v>3.8727044301048416E-5</v>
      </c>
      <c r="P35" s="33">
        <f t="shared" si="12"/>
        <v>0.63527186323212437</v>
      </c>
      <c r="Q35" s="15"/>
      <c r="R35" s="24">
        <f t="shared" si="13"/>
        <v>26821.229477611938</v>
      </c>
      <c r="S35" s="24">
        <f t="shared" si="14"/>
        <v>2.1415718401260698E-5</v>
      </c>
      <c r="T35" s="33">
        <f t="shared" si="0"/>
        <v>1.1487917953362596</v>
      </c>
      <c r="U35" s="33">
        <f t="shared" si="15"/>
        <v>0.30579937296553911</v>
      </c>
      <c r="V35" s="33">
        <f t="shared" si="16"/>
        <v>30.579937296553911</v>
      </c>
      <c r="W35" s="15"/>
      <c r="X35" s="15"/>
      <c r="Y35" s="24">
        <v>20.74</v>
      </c>
      <c r="Z35" s="24">
        <f t="shared" si="17"/>
        <v>20.750165083183362</v>
      </c>
      <c r="AA35" s="24">
        <f t="shared" si="18"/>
        <v>10.375082541591681</v>
      </c>
      <c r="AB35" s="27"/>
      <c r="AD35" s="33">
        <f t="shared" si="1"/>
        <v>0.24633804932153586</v>
      </c>
      <c r="AF35" s="33">
        <f t="shared" si="19"/>
        <v>16.331720546862456</v>
      </c>
      <c r="AH35" s="13">
        <f t="shared" si="20"/>
        <v>10.481985743330052</v>
      </c>
      <c r="AK35" s="13"/>
      <c r="BG35" s="15">
        <f t="shared" si="21"/>
        <v>10.310416055789624</v>
      </c>
      <c r="BH35" s="15">
        <f t="shared" si="22"/>
        <v>0.63581519971904332</v>
      </c>
    </row>
    <row r="36" spans="1:60" x14ac:dyDescent="0.25">
      <c r="A36" s="25">
        <v>13</v>
      </c>
      <c r="B36" s="2"/>
      <c r="C36" s="25">
        <v>47.941223925357974</v>
      </c>
      <c r="D36" s="25">
        <f t="shared" si="2"/>
        <v>23.970611962678987</v>
      </c>
      <c r="E36" s="25">
        <f t="shared" si="3"/>
        <v>47.939954348550245</v>
      </c>
      <c r="F36" s="25">
        <f t="shared" si="4"/>
        <v>48.017453348550248</v>
      </c>
      <c r="G36" s="25">
        <v>7637.31</v>
      </c>
      <c r="H36" s="25">
        <f t="shared" si="5"/>
        <v>7.6373100000000003</v>
      </c>
      <c r="I36" s="25">
        <f t="shared" si="6"/>
        <v>181.3861125</v>
      </c>
      <c r="J36" s="25">
        <f t="shared" si="7"/>
        <v>0.26472508113624327</v>
      </c>
      <c r="K36" s="25">
        <f t="shared" si="8"/>
        <v>264.72508113624326</v>
      </c>
      <c r="L36" s="23">
        <v>5255813.7499999981</v>
      </c>
      <c r="M36" s="25">
        <f t="shared" si="9"/>
        <v>3037.8603474999986</v>
      </c>
      <c r="N36" s="25">
        <f t="shared" si="10"/>
        <v>8706.5822329558996</v>
      </c>
      <c r="O36" s="25">
        <f>SQRT((4*$F$8*F36)/(2*3.14*$F$10*N36))</f>
        <v>4.0134482338959774E-5</v>
      </c>
      <c r="P36" s="25">
        <f>2*O36*N36</f>
        <v>0.69886834172253898</v>
      </c>
      <c r="Q36" s="15"/>
      <c r="R36" s="25">
        <f t="shared" si="13"/>
        <v>27072.554104477615</v>
      </c>
      <c r="S36" s="25">
        <f t="shared" si="14"/>
        <v>2.2760243482915191E-5</v>
      </c>
      <c r="T36" s="25">
        <f t="shared" si="0"/>
        <v>1.2323558462446111</v>
      </c>
      <c r="U36" s="25">
        <f t="shared" si="15"/>
        <v>0.32160180378089598</v>
      </c>
      <c r="V36" s="33">
        <f t="shared" si="16"/>
        <v>32.160180378089599</v>
      </c>
      <c r="W36" s="15"/>
      <c r="X36" s="15"/>
      <c r="Y36" s="25">
        <v>22.96</v>
      </c>
      <c r="Z36" s="25">
        <f>Y36-$Y$22</f>
        <v>22.970165083183364</v>
      </c>
      <c r="AA36" s="25">
        <f>Z36/2</f>
        <v>11.485082541591682</v>
      </c>
      <c r="AB36" s="35"/>
      <c r="AD36" s="25">
        <f t="shared" si="1"/>
        <v>0.2391855823386444</v>
      </c>
      <c r="AE36" s="2"/>
      <c r="AF36" s="25">
        <f t="shared" si="19"/>
        <v>16.433828599652649</v>
      </c>
      <c r="AG36" s="2"/>
      <c r="AH36" s="13">
        <f t="shared" si="20"/>
        <v>11.531327638421892</v>
      </c>
      <c r="AK36" s="13"/>
      <c r="AO36" s="2"/>
      <c r="AP36" s="2"/>
      <c r="AQ36" s="2"/>
      <c r="AR36" s="2"/>
      <c r="AS36" s="2"/>
      <c r="AW36" s="2"/>
      <c r="AX36" s="2"/>
      <c r="AY36" s="2"/>
      <c r="AZ36" s="2"/>
      <c r="BA36" s="2"/>
      <c r="BG36" s="2">
        <f t="shared" si="21"/>
        <v>11.330363545088016</v>
      </c>
      <c r="BH36" s="2">
        <f t="shared" si="22"/>
        <v>0.70108001579719459</v>
      </c>
    </row>
    <row r="37" spans="1:60" x14ac:dyDescent="0.25">
      <c r="B37" s="13"/>
      <c r="J37" s="13"/>
      <c r="M37" s="13"/>
      <c r="N37" s="13"/>
      <c r="O37" s="33"/>
      <c r="P37" s="13"/>
      <c r="Q37" s="15"/>
      <c r="R37" s="33"/>
      <c r="S37" s="33"/>
      <c r="T37" s="33"/>
      <c r="U37" s="33"/>
      <c r="V37" s="33"/>
      <c r="W37" s="15"/>
      <c r="X37" s="15"/>
      <c r="AD37" s="13"/>
      <c r="AF37" s="13"/>
      <c r="AH37" s="13"/>
    </row>
    <row r="38" spans="1:60" x14ac:dyDescent="0.25">
      <c r="B38" s="13"/>
      <c r="J38" s="13"/>
      <c r="M38" s="13"/>
      <c r="N38" s="13"/>
      <c r="O38" s="33"/>
      <c r="P38" s="13"/>
      <c r="Q38" s="15"/>
      <c r="R38" s="33"/>
      <c r="S38" s="33"/>
      <c r="T38" s="33"/>
      <c r="U38" s="33"/>
      <c r="V38" s="33"/>
      <c r="W38" s="15"/>
      <c r="X38" s="15"/>
      <c r="Y38" s="10" t="s">
        <v>28</v>
      </c>
      <c r="Z38" s="10" t="s">
        <v>28</v>
      </c>
      <c r="AA38" s="10" t="s">
        <v>28</v>
      </c>
      <c r="AD38" s="13"/>
      <c r="AF38" s="13"/>
      <c r="AH38" s="13"/>
      <c r="AO38" s="15"/>
      <c r="AP38" s="15"/>
      <c r="AQ38" s="15"/>
      <c r="AR38" s="15"/>
      <c r="AS38" s="15"/>
    </row>
    <row r="39" spans="1:60" x14ac:dyDescent="0.25">
      <c r="A39" s="18" t="s">
        <v>22</v>
      </c>
      <c r="B39" s="18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5"/>
      <c r="P39" s="2"/>
      <c r="Q39" s="15"/>
      <c r="R39" s="25"/>
      <c r="S39" s="25"/>
      <c r="T39" s="25"/>
      <c r="U39" s="25"/>
      <c r="V39" s="33"/>
      <c r="W39" s="15"/>
      <c r="X39" s="15"/>
      <c r="Y39" s="18" t="s">
        <v>27</v>
      </c>
      <c r="Z39" s="18" t="s">
        <v>29</v>
      </c>
      <c r="AA39" s="18" t="s">
        <v>30</v>
      </c>
      <c r="AB39" s="26"/>
      <c r="AC39" s="13"/>
      <c r="AD39" s="18" t="s">
        <v>14</v>
      </c>
      <c r="AE39" s="2"/>
      <c r="AF39" s="20" t="s">
        <v>17</v>
      </c>
      <c r="AG39" s="2"/>
      <c r="AH39" s="18" t="s">
        <v>16</v>
      </c>
      <c r="AO39" s="18" t="s">
        <v>60</v>
      </c>
      <c r="AP39" s="18"/>
      <c r="AQ39" s="2"/>
      <c r="AR39" s="2"/>
      <c r="AS39" s="2"/>
      <c r="AT39" s="13"/>
      <c r="AU39" s="13"/>
      <c r="AV39" s="13"/>
      <c r="AW39" s="18" t="s">
        <v>61</v>
      </c>
      <c r="AX39" s="18"/>
      <c r="AY39" s="2"/>
      <c r="AZ39" s="2"/>
      <c r="BA39" s="2"/>
      <c r="BD39" s="2"/>
      <c r="BG39" s="2"/>
      <c r="BH39" s="2"/>
    </row>
    <row r="40" spans="1:60" ht="18.75" x14ac:dyDescent="0.35">
      <c r="A40" s="18" t="s">
        <v>0</v>
      </c>
      <c r="B40" s="18"/>
      <c r="C40" s="18" t="s">
        <v>12</v>
      </c>
      <c r="D40" s="18"/>
      <c r="E40" s="18" t="s">
        <v>13</v>
      </c>
      <c r="F40" s="18" t="s">
        <v>1</v>
      </c>
      <c r="G40" s="18" t="s">
        <v>19</v>
      </c>
      <c r="H40" s="18" t="s">
        <v>2</v>
      </c>
      <c r="I40" s="18" t="s">
        <v>3</v>
      </c>
      <c r="J40" s="18" t="s">
        <v>4</v>
      </c>
      <c r="K40" s="18" t="s">
        <v>15</v>
      </c>
      <c r="L40" s="18" t="s">
        <v>33</v>
      </c>
      <c r="M40" s="18" t="s">
        <v>34</v>
      </c>
      <c r="N40" s="18" t="s">
        <v>35</v>
      </c>
      <c r="O40" s="18" t="s">
        <v>9</v>
      </c>
      <c r="P40" s="18" t="s">
        <v>40</v>
      </c>
      <c r="Q40" s="26"/>
      <c r="R40" s="18" t="s">
        <v>43</v>
      </c>
      <c r="S40" s="20" t="s">
        <v>41</v>
      </c>
      <c r="T40" s="21" t="s">
        <v>42</v>
      </c>
      <c r="U40" s="21" t="s">
        <v>44</v>
      </c>
      <c r="V40" s="33"/>
      <c r="W40" s="33"/>
      <c r="X40" s="35" t="s">
        <v>32</v>
      </c>
      <c r="Y40" s="34">
        <v>1.4736910617876408E-3</v>
      </c>
      <c r="Z40" s="19"/>
      <c r="AA40" s="19"/>
      <c r="AB40" s="15"/>
      <c r="AC40" s="13"/>
      <c r="AD40" s="19"/>
      <c r="AE40" s="19"/>
      <c r="AF40" s="19"/>
      <c r="AG40" s="19"/>
      <c r="AH40" s="19"/>
      <c r="AI40" s="13"/>
      <c r="AJ40" s="13"/>
      <c r="AK40" s="13"/>
      <c r="AL40" s="13"/>
      <c r="AM40" s="13"/>
      <c r="AN40" s="13"/>
      <c r="AO40" s="2"/>
      <c r="AP40" s="18" t="s">
        <v>48</v>
      </c>
      <c r="AQ40" s="18"/>
      <c r="AR40" s="18" t="s">
        <v>47</v>
      </c>
      <c r="AS40" s="18"/>
      <c r="AT40" s="10"/>
      <c r="AW40" s="2"/>
      <c r="AX40" s="18" t="s">
        <v>48</v>
      </c>
      <c r="AY40" s="18"/>
      <c r="AZ40" s="18" t="s">
        <v>47</v>
      </c>
      <c r="BA40" s="18"/>
      <c r="BD40" s="2" t="s">
        <v>59</v>
      </c>
      <c r="BG40" s="2" t="s">
        <v>62</v>
      </c>
      <c r="BH40" s="2" t="s">
        <v>63</v>
      </c>
    </row>
    <row r="41" spans="1:60" ht="18" x14ac:dyDescent="0.35">
      <c r="A41" s="24">
        <v>0</v>
      </c>
      <c r="B41" s="13"/>
      <c r="C41" s="24">
        <v>-1.7737420859713512E-2</v>
      </c>
      <c r="D41" s="24">
        <f>C41/2</f>
        <v>-8.8687104298567562E-3</v>
      </c>
      <c r="E41" s="24">
        <f>C41-$C$41</f>
        <v>0</v>
      </c>
      <c r="F41" s="24">
        <f>E41+($F$2*9.81)</f>
        <v>7.7499000000000012E-2</v>
      </c>
      <c r="G41" s="24">
        <v>7322.88</v>
      </c>
      <c r="H41" s="24">
        <f>G41/1000</f>
        <v>7.3228800000000005</v>
      </c>
      <c r="I41" s="24">
        <f>H41*$F$5</f>
        <v>173.91840000000002</v>
      </c>
      <c r="J41" s="32">
        <f>F41/I41</f>
        <v>4.4560552534981927E-4</v>
      </c>
      <c r="K41" s="24">
        <f>J41*1000</f>
        <v>0.44560552534981929</v>
      </c>
      <c r="L41" s="32">
        <v>155313.18000000002</v>
      </c>
      <c r="M41" s="32">
        <f>((L41*$F$6)/1000)</f>
        <v>89.771018040000016</v>
      </c>
      <c r="N41" s="32">
        <f>M41*($F$5/$F$14)</f>
        <v>257.28593855364119</v>
      </c>
      <c r="O41" s="33">
        <f>SQRT((4*$F$8*F41)/(2*3.14*$F$10*N41))</f>
        <v>9.3795495273578709E-6</v>
      </c>
      <c r="P41" s="32">
        <f>2*O41*N41</f>
        <v>4.8264524067132631E-3</v>
      </c>
      <c r="Q41" s="15"/>
      <c r="R41" s="33">
        <f>(H41/$F$8)*$F$5</f>
        <v>25957.970149253732</v>
      </c>
      <c r="S41" s="33">
        <f t="shared" si="14"/>
        <v>9.3380166147531291E-7</v>
      </c>
      <c r="T41" s="33">
        <f>2*S41*R41</f>
        <v>4.8479191307799423E-2</v>
      </c>
      <c r="U41" s="33">
        <f t="shared" si="15"/>
        <v>9.9116355044054916E-3</v>
      </c>
      <c r="V41" s="33">
        <f t="shared" si="16"/>
        <v>0.99116355044054916</v>
      </c>
      <c r="W41" s="15"/>
      <c r="X41" s="15"/>
      <c r="Y41" s="24">
        <v>0.33</v>
      </c>
      <c r="Z41" s="24">
        <f>Y41-$Y$40</f>
        <v>0.32852630893821239</v>
      </c>
      <c r="AA41" s="24">
        <f>Z41/2</f>
        <v>0.16426315446910619</v>
      </c>
      <c r="AB41" s="27"/>
      <c r="AC41" s="13"/>
      <c r="AD41" s="32">
        <f t="shared" ref="AD41:AD54" si="23">AA41/F41</f>
        <v>2.1195519228519872</v>
      </c>
      <c r="AE41" s="13"/>
      <c r="AF41" s="32">
        <f t="shared" ref="AF41:AF54" si="24">AA41/P41</f>
        <v>34.033932302041862</v>
      </c>
      <c r="AG41" s="13"/>
      <c r="AH41" s="13">
        <f>P41*16</f>
        <v>7.7223238507412209E-2</v>
      </c>
      <c r="AO41" s="10" t="s">
        <v>55</v>
      </c>
      <c r="AP41">
        <v>0.70799999999999996</v>
      </c>
      <c r="AR41">
        <v>0.66010000000000002</v>
      </c>
      <c r="AS41">
        <v>0.75590000000000002</v>
      </c>
      <c r="AW41" s="46" t="s">
        <v>57</v>
      </c>
      <c r="AX41" s="13">
        <v>3.9469999999999998E-2</v>
      </c>
      <c r="AY41" s="13"/>
      <c r="AZ41" s="13">
        <v>3.6589999999999998E-2</v>
      </c>
      <c r="BA41" s="13">
        <v>4.2340000000000003E-2</v>
      </c>
      <c r="BD41">
        <f>AP41/AX41</f>
        <v>17.93767418292374</v>
      </c>
      <c r="BG41">
        <f>$AP$41*(F41^$AP$42)</f>
        <v>0.11484197245527458</v>
      </c>
      <c r="BH41">
        <f>$AX$41*(F41^$AX$42)</f>
        <v>5.8511028808225975E-3</v>
      </c>
    </row>
    <row r="42" spans="1:60" ht="18" x14ac:dyDescent="0.35">
      <c r="A42" s="24">
        <v>1</v>
      </c>
      <c r="B42" s="13"/>
      <c r="C42" s="24">
        <v>0.71800066644452332</v>
      </c>
      <c r="D42" s="24">
        <f t="shared" ref="D42:D54" si="25">C42/2</f>
        <v>0.35900033322226166</v>
      </c>
      <c r="E42" s="24">
        <f t="shared" ref="E42:E54" si="26">C42-$C$41</f>
        <v>0.73573808730423684</v>
      </c>
      <c r="F42" s="24">
        <f t="shared" ref="F42:F54" si="27">E42+($F$2*9.81)</f>
        <v>0.81323708730423683</v>
      </c>
      <c r="G42" s="24">
        <v>7324.32</v>
      </c>
      <c r="H42" s="24">
        <f t="shared" ref="H42:H54" si="28">G42/1000</f>
        <v>7.3243199999999993</v>
      </c>
      <c r="I42" s="24">
        <f t="shared" ref="I42:I54" si="29">H42*$F$5</f>
        <v>173.95259999999999</v>
      </c>
      <c r="J42" s="33">
        <f t="shared" ref="J42:J54" si="30">F42/I42</f>
        <v>4.6750499118969014E-3</v>
      </c>
      <c r="K42" s="24">
        <f t="shared" ref="K42:K86" si="31">J42*1000</f>
        <v>4.6750499118969016</v>
      </c>
      <c r="L42" s="33">
        <v>427107.34000000008</v>
      </c>
      <c r="M42" s="33">
        <f t="shared" ref="M42:M54" si="32">((L42*$F$6)/1000)</f>
        <v>246.86804252000002</v>
      </c>
      <c r="N42" s="33">
        <f t="shared" ref="N42:N53" si="33">M42*($F$5/$F$14)</f>
        <v>707.52986214723774</v>
      </c>
      <c r="O42" s="33">
        <f t="shared" ref="O42:O100" si="34">SQRT((4*$F$8*F42)/(2*3.14*$F$10*N42))</f>
        <v>1.8322222727299476E-5</v>
      </c>
      <c r="P42" s="33">
        <f t="shared" ref="P42:P54" si="35">2*O42*N42</f>
        <v>2.5927039440954369E-2</v>
      </c>
      <c r="Q42" s="15"/>
      <c r="R42" s="33">
        <f t="shared" si="13"/>
        <v>25963.074626865669</v>
      </c>
      <c r="S42" s="33">
        <f t="shared" si="14"/>
        <v>3.0246315960981039E-6</v>
      </c>
      <c r="T42" s="33">
        <f t="shared" ref="T42:T100" si="36">2*S42*R42</f>
        <v>0.15705747169654177</v>
      </c>
      <c r="U42" s="33">
        <f t="shared" si="15"/>
        <v>2.7251389610655392E-2</v>
      </c>
      <c r="V42" s="33">
        <f t="shared" si="16"/>
        <v>2.725138961065539</v>
      </c>
      <c r="W42" s="15"/>
      <c r="X42" s="15"/>
      <c r="Y42" s="24">
        <v>1.22</v>
      </c>
      <c r="Z42" s="24">
        <f t="shared" ref="Z42:Z53" si="37">Y42-$Y$40</f>
        <v>1.2185263089382123</v>
      </c>
      <c r="AA42" s="24">
        <f t="shared" ref="AA42:AA53" si="38">Z42/2</f>
        <v>0.60926315446910617</v>
      </c>
      <c r="AC42" s="13"/>
      <c r="AD42" s="33">
        <f t="shared" si="23"/>
        <v>0.74918269712553975</v>
      </c>
      <c r="AE42" s="13"/>
      <c r="AF42" s="33">
        <f t="shared" si="24"/>
        <v>23.499140958867585</v>
      </c>
      <c r="AG42" s="13"/>
      <c r="AH42" s="13">
        <f t="shared" ref="AH42:AH54" si="39">P42*16</f>
        <v>0.41483263105526991</v>
      </c>
      <c r="AK42" s="13"/>
      <c r="AO42" s="10" t="s">
        <v>56</v>
      </c>
      <c r="AP42">
        <v>0.71120000000000005</v>
      </c>
      <c r="AR42">
        <v>0.69189999999999996</v>
      </c>
      <c r="AS42">
        <v>0.73060000000000003</v>
      </c>
      <c r="AW42" s="46" t="s">
        <v>58</v>
      </c>
      <c r="AX42" s="13">
        <v>0.74639999999999995</v>
      </c>
      <c r="AY42" s="13"/>
      <c r="AZ42" s="13">
        <v>0.72560000000000002</v>
      </c>
      <c r="BA42" s="13">
        <v>0.7671</v>
      </c>
      <c r="BG42" s="13">
        <f t="shared" ref="BG42:BG54" si="40">$AP$41*(F42^$AP$42)</f>
        <v>0.61119488834929436</v>
      </c>
      <c r="BH42" s="13">
        <f t="shared" ref="BH42:BH54" si="41">$AX$41*(F42^$AX$42)</f>
        <v>3.3826201120444779E-2</v>
      </c>
    </row>
    <row r="43" spans="1:60" x14ac:dyDescent="0.25">
      <c r="A43" s="24">
        <v>2</v>
      </c>
      <c r="B43" s="13"/>
      <c r="C43" s="24">
        <v>1.5691509496834533</v>
      </c>
      <c r="D43" s="24">
        <f t="shared" si="25"/>
        <v>0.78457547484172663</v>
      </c>
      <c r="E43" s="24">
        <f t="shared" si="26"/>
        <v>1.5868883705431667</v>
      </c>
      <c r="F43" s="24">
        <f t="shared" si="27"/>
        <v>1.6643873705431667</v>
      </c>
      <c r="G43" s="24">
        <v>7307.46</v>
      </c>
      <c r="H43" s="24">
        <f t="shared" si="28"/>
        <v>7.3074599999999998</v>
      </c>
      <c r="I43" s="24">
        <f t="shared" si="29"/>
        <v>173.55217500000001</v>
      </c>
      <c r="J43" s="33">
        <f t="shared" si="30"/>
        <v>9.5901268338651861E-3</v>
      </c>
      <c r="K43" s="24">
        <f t="shared" si="31"/>
        <v>9.5901268338651864</v>
      </c>
      <c r="L43" s="33">
        <v>646811.70000000007</v>
      </c>
      <c r="M43" s="33">
        <f t="shared" si="32"/>
        <v>373.85716260000004</v>
      </c>
      <c r="N43" s="33">
        <f t="shared" si="33"/>
        <v>1071.4837935967585</v>
      </c>
      <c r="O43" s="33">
        <f t="shared" si="34"/>
        <v>2.1299840918231872E-5</v>
      </c>
      <c r="P43" s="33">
        <f t="shared" si="35"/>
        <v>4.5644868700149097E-2</v>
      </c>
      <c r="Q43" s="15"/>
      <c r="R43" s="33">
        <f t="shared" si="13"/>
        <v>25903.309701492537</v>
      </c>
      <c r="S43" s="33">
        <f t="shared" si="14"/>
        <v>4.3320307842708736E-6</v>
      </c>
      <c r="T43" s="33">
        <f t="shared" si="36"/>
        <v>0.2244278700827361</v>
      </c>
      <c r="U43" s="33">
        <f t="shared" si="15"/>
        <v>4.1364744735110821E-2</v>
      </c>
      <c r="V43" s="33">
        <f t="shared" si="16"/>
        <v>4.1364744735110826</v>
      </c>
      <c r="W43" s="15"/>
      <c r="X43" s="15"/>
      <c r="Y43" s="24">
        <v>2.06</v>
      </c>
      <c r="Z43" s="24">
        <f t="shared" si="37"/>
        <v>2.0585263089382124</v>
      </c>
      <c r="AA43" s="24">
        <f t="shared" si="38"/>
        <v>1.0292631544691062</v>
      </c>
      <c r="AC43" s="13"/>
      <c r="AD43" s="33">
        <f t="shared" si="23"/>
        <v>0.61840360764886726</v>
      </c>
      <c r="AE43" s="13"/>
      <c r="AF43" s="33">
        <f t="shared" si="24"/>
        <v>22.549372662906666</v>
      </c>
      <c r="AG43" s="13"/>
      <c r="AH43" s="13">
        <f t="shared" si="39"/>
        <v>0.73031789920238555</v>
      </c>
      <c r="AK43" s="13"/>
      <c r="BG43" s="13">
        <f t="shared" si="40"/>
        <v>1.0171602860849167</v>
      </c>
      <c r="BH43" s="13">
        <f t="shared" si="41"/>
        <v>5.7731310923685428E-2</v>
      </c>
    </row>
    <row r="44" spans="1:60" x14ac:dyDescent="0.25">
      <c r="A44" s="24">
        <v>3</v>
      </c>
      <c r="B44" s="13"/>
      <c r="C44" s="24">
        <v>3.2160119960013218</v>
      </c>
      <c r="D44" s="24">
        <f t="shared" si="25"/>
        <v>1.6080059980006609</v>
      </c>
      <c r="E44" s="24">
        <f t="shared" si="26"/>
        <v>3.2337494168610355</v>
      </c>
      <c r="F44" s="24">
        <f t="shared" si="27"/>
        <v>3.3112484168610354</v>
      </c>
      <c r="G44" s="24">
        <v>7305.92</v>
      </c>
      <c r="H44" s="24">
        <f t="shared" si="28"/>
        <v>7.3059200000000004</v>
      </c>
      <c r="I44" s="24">
        <f t="shared" si="29"/>
        <v>173.51560000000001</v>
      </c>
      <c r="J44" s="33">
        <f t="shared" si="30"/>
        <v>1.9083289438304309E-2</v>
      </c>
      <c r="K44" s="24">
        <f t="shared" si="31"/>
        <v>19.083289438304309</v>
      </c>
      <c r="L44" s="33">
        <v>1141395.8499999999</v>
      </c>
      <c r="M44" s="33">
        <f t="shared" si="32"/>
        <v>659.72680129999981</v>
      </c>
      <c r="N44" s="33">
        <f t="shared" si="33"/>
        <v>1890.7931865697483</v>
      </c>
      <c r="O44" s="33">
        <f t="shared" si="34"/>
        <v>2.2616001527833661E-5</v>
      </c>
      <c r="P44" s="33">
        <f t="shared" si="35"/>
        <v>8.5524363192557809E-2</v>
      </c>
      <c r="Q44" s="15"/>
      <c r="R44" s="33">
        <f t="shared" si="13"/>
        <v>25897.850746268661</v>
      </c>
      <c r="S44" s="33">
        <f t="shared" si="14"/>
        <v>6.1109112629397015E-6</v>
      </c>
      <c r="T44" s="33">
        <f t="shared" si="36"/>
        <v>0.31651893562260902</v>
      </c>
      <c r="U44" s="33">
        <f t="shared" si="15"/>
        <v>7.3009656480554547E-2</v>
      </c>
      <c r="V44" s="33">
        <f t="shared" si="16"/>
        <v>7.3009656480554543</v>
      </c>
      <c r="W44" s="15"/>
      <c r="X44" s="15"/>
      <c r="Y44" s="24">
        <v>3.22</v>
      </c>
      <c r="Z44" s="24">
        <f t="shared" si="37"/>
        <v>3.2185263089382126</v>
      </c>
      <c r="AA44" s="24">
        <f t="shared" si="38"/>
        <v>1.6092631544691063</v>
      </c>
      <c r="AC44" s="13"/>
      <c r="AD44" s="33">
        <f t="shared" si="23"/>
        <v>0.48599892000692585</v>
      </c>
      <c r="AE44" s="13"/>
      <c r="AF44" s="33">
        <f t="shared" si="24"/>
        <v>18.816429545881046</v>
      </c>
      <c r="AG44" s="13"/>
      <c r="AH44" s="13">
        <f t="shared" si="39"/>
        <v>1.3683898110809249</v>
      </c>
      <c r="AK44" s="13"/>
      <c r="BG44" s="13">
        <f t="shared" si="40"/>
        <v>1.6590191534726471</v>
      </c>
      <c r="BH44" s="13">
        <f t="shared" si="41"/>
        <v>9.6469267032682812E-2</v>
      </c>
    </row>
    <row r="45" spans="1:60" x14ac:dyDescent="0.25">
      <c r="A45" s="24">
        <v>4</v>
      </c>
      <c r="B45" s="13"/>
      <c r="C45" s="24">
        <v>4.8084445184938414</v>
      </c>
      <c r="D45" s="24">
        <f t="shared" si="25"/>
        <v>2.4042222592469207</v>
      </c>
      <c r="E45" s="24">
        <f t="shared" si="26"/>
        <v>4.826181939353555</v>
      </c>
      <c r="F45" s="24">
        <f t="shared" si="27"/>
        <v>4.9036809393535554</v>
      </c>
      <c r="G45" s="24">
        <v>7378.27</v>
      </c>
      <c r="H45" s="24">
        <f t="shared" si="28"/>
        <v>7.3782700000000006</v>
      </c>
      <c r="I45" s="24">
        <f t="shared" si="29"/>
        <v>175.2339125</v>
      </c>
      <c r="J45" s="33">
        <f t="shared" si="30"/>
        <v>2.7983629820247012E-2</v>
      </c>
      <c r="K45" s="24">
        <f t="shared" si="31"/>
        <v>27.98362982024701</v>
      </c>
      <c r="L45" s="33">
        <v>1580795.3399999994</v>
      </c>
      <c r="M45" s="33">
        <f t="shared" si="32"/>
        <v>913.69970651999949</v>
      </c>
      <c r="N45" s="33">
        <f t="shared" si="33"/>
        <v>2618.6857593999557</v>
      </c>
      <c r="O45" s="33">
        <f t="shared" si="34"/>
        <v>2.3386291920709569E-5</v>
      </c>
      <c r="P45" s="33">
        <f t="shared" si="35"/>
        <v>0.12248269923586477</v>
      </c>
      <c r="Q45" s="15"/>
      <c r="R45" s="33">
        <f t="shared" si="13"/>
        <v>26154.315298507463</v>
      </c>
      <c r="S45" s="33">
        <f t="shared" si="14"/>
        <v>7.3999942494014242E-6</v>
      </c>
      <c r="T45" s="33">
        <f t="shared" si="36"/>
        <v>0.38708356561197382</v>
      </c>
      <c r="U45" s="33">
        <f t="shared" si="15"/>
        <v>0.10012442419203363</v>
      </c>
      <c r="V45" s="33">
        <f t="shared" si="16"/>
        <v>10.012442419203364</v>
      </c>
      <c r="W45" s="15"/>
      <c r="X45" s="15"/>
      <c r="Y45" s="24">
        <v>4.49</v>
      </c>
      <c r="Z45" s="24">
        <f t="shared" si="37"/>
        <v>4.4885263089382121</v>
      </c>
      <c r="AA45" s="24">
        <f t="shared" si="38"/>
        <v>2.2442631544691061</v>
      </c>
      <c r="AC45" s="13"/>
      <c r="AD45" s="33">
        <f t="shared" si="23"/>
        <v>0.45766908210895219</v>
      </c>
      <c r="AE45" s="13"/>
      <c r="AF45" s="33">
        <f t="shared" si="24"/>
        <v>18.323103331902669</v>
      </c>
      <c r="AG45" s="13"/>
      <c r="AH45" s="13">
        <f t="shared" si="39"/>
        <v>1.9597231877738364</v>
      </c>
      <c r="AK45" s="13"/>
      <c r="BG45" s="13">
        <f t="shared" si="40"/>
        <v>2.1934748022026782</v>
      </c>
      <c r="BH45" s="13">
        <f t="shared" si="41"/>
        <v>0.12932214519592578</v>
      </c>
    </row>
    <row r="46" spans="1:60" x14ac:dyDescent="0.25">
      <c r="A46" s="24">
        <v>5</v>
      </c>
      <c r="B46" s="13"/>
      <c r="C46" s="24">
        <v>6.4580966344552095</v>
      </c>
      <c r="D46" s="24">
        <f t="shared" si="25"/>
        <v>3.2290483172276048</v>
      </c>
      <c r="E46" s="24">
        <f t="shared" si="26"/>
        <v>6.4758340553149232</v>
      </c>
      <c r="F46" s="24">
        <f t="shared" si="27"/>
        <v>6.5533330553149236</v>
      </c>
      <c r="G46" s="24">
        <v>7324.42</v>
      </c>
      <c r="H46" s="24">
        <f t="shared" si="28"/>
        <v>7.3244199999999999</v>
      </c>
      <c r="I46" s="24">
        <f t="shared" si="29"/>
        <v>173.95497499999999</v>
      </c>
      <c r="J46" s="33">
        <f t="shared" si="30"/>
        <v>3.7672581973093464E-2</v>
      </c>
      <c r="K46" s="24">
        <f t="shared" si="31"/>
        <v>37.672581973093465</v>
      </c>
      <c r="L46" s="33">
        <v>2067805.5899999994</v>
      </c>
      <c r="M46" s="33">
        <f t="shared" si="32"/>
        <v>1195.1916310199995</v>
      </c>
      <c r="N46" s="33">
        <f t="shared" si="33"/>
        <v>3425.4485161504995</v>
      </c>
      <c r="O46" s="33">
        <f t="shared" si="34"/>
        <v>2.3638197408268632E-5</v>
      </c>
      <c r="P46" s="33">
        <f t="shared" si="35"/>
        <v>0.16194285647325274</v>
      </c>
      <c r="Q46" s="15"/>
      <c r="R46" s="33">
        <f t="shared" si="13"/>
        <v>25963.429104477615</v>
      </c>
      <c r="S46" s="33">
        <f t="shared" si="14"/>
        <v>8.586023087452059E-6</v>
      </c>
      <c r="T46" s="33">
        <f t="shared" si="36"/>
        <v>0.44584520344093909</v>
      </c>
      <c r="U46" s="33">
        <f t="shared" si="15"/>
        <v>0.13193359407058261</v>
      </c>
      <c r="V46" s="33">
        <f t="shared" si="16"/>
        <v>13.193359407058262</v>
      </c>
      <c r="W46" s="15"/>
      <c r="X46" s="15"/>
      <c r="Y46" s="24">
        <v>5.53</v>
      </c>
      <c r="Z46" s="24">
        <f t="shared" si="37"/>
        <v>5.5285263089382122</v>
      </c>
      <c r="AA46" s="24">
        <f t="shared" si="38"/>
        <v>2.7642631544691061</v>
      </c>
      <c r="AC46" s="13"/>
      <c r="AD46" s="33">
        <f t="shared" si="23"/>
        <v>0.42181026527061932</v>
      </c>
      <c r="AE46" s="13"/>
      <c r="AF46" s="33">
        <f t="shared" si="24"/>
        <v>17.069373819064783</v>
      </c>
      <c r="AG46" s="13"/>
      <c r="AH46" s="13">
        <f t="shared" si="39"/>
        <v>2.5910857035720438</v>
      </c>
      <c r="AK46" s="13"/>
      <c r="BG46" s="13">
        <f t="shared" si="40"/>
        <v>2.6958840113467315</v>
      </c>
      <c r="BH46" s="13">
        <f t="shared" si="41"/>
        <v>0.16057374729990637</v>
      </c>
    </row>
    <row r="47" spans="1:60" x14ac:dyDescent="0.25">
      <c r="A47" s="24">
        <v>6</v>
      </c>
      <c r="B47" s="13"/>
      <c r="C47" s="24">
        <v>8.0341296234588917</v>
      </c>
      <c r="D47" s="24">
        <f t="shared" si="25"/>
        <v>4.0170648117294459</v>
      </c>
      <c r="E47" s="24">
        <f t="shared" si="26"/>
        <v>8.0518670443186053</v>
      </c>
      <c r="F47" s="24">
        <f t="shared" si="27"/>
        <v>8.1293660443186049</v>
      </c>
      <c r="G47" s="24">
        <v>7346.77</v>
      </c>
      <c r="H47" s="24">
        <f t="shared" si="28"/>
        <v>7.3467700000000002</v>
      </c>
      <c r="I47" s="24">
        <f t="shared" si="29"/>
        <v>174.48578750000001</v>
      </c>
      <c r="J47" s="33">
        <f t="shared" si="30"/>
        <v>4.6590419545308834E-2</v>
      </c>
      <c r="K47" s="24">
        <f t="shared" si="31"/>
        <v>46.590419545308833</v>
      </c>
      <c r="L47" s="33">
        <v>2500479.3699999987</v>
      </c>
      <c r="M47" s="33">
        <f t="shared" si="32"/>
        <v>1445.2770758599991</v>
      </c>
      <c r="N47" s="33">
        <f t="shared" si="33"/>
        <v>4142.1995322255771</v>
      </c>
      <c r="O47" s="33">
        <f t="shared" si="34"/>
        <v>2.3941689230861135E-5</v>
      </c>
      <c r="P47" s="33">
        <f t="shared" si="35"/>
        <v>0.19834250786552626</v>
      </c>
      <c r="Q47" s="15"/>
      <c r="R47" s="33">
        <f>(H47/$F$8)*$F$5</f>
        <v>26042.654850746268</v>
      </c>
      <c r="S47" s="33">
        <f t="shared" si="14"/>
        <v>9.5483354756619009E-6</v>
      </c>
      <c r="T47" s="33">
        <f t="shared" si="36"/>
        <v>0.49732801038359814</v>
      </c>
      <c r="U47" s="33">
        <f t="shared" si="15"/>
        <v>0.15905442651546256</v>
      </c>
      <c r="V47" s="33">
        <f t="shared" si="16"/>
        <v>15.905442651546256</v>
      </c>
      <c r="W47" s="15"/>
      <c r="X47" s="15"/>
      <c r="Y47" s="24">
        <v>6.67</v>
      </c>
      <c r="Z47" s="24">
        <f t="shared" si="37"/>
        <v>6.6685263089382119</v>
      </c>
      <c r="AA47" s="24">
        <f t="shared" si="38"/>
        <v>3.3342631544691059</v>
      </c>
      <c r="AC47" s="13"/>
      <c r="AD47" s="33">
        <f t="shared" si="23"/>
        <v>0.41015045162092717</v>
      </c>
      <c r="AE47" s="13"/>
      <c r="AF47" s="33">
        <f t="shared" si="24"/>
        <v>16.810633234151172</v>
      </c>
      <c r="AG47" s="13"/>
      <c r="AH47" s="13">
        <f t="shared" si="39"/>
        <v>3.1734801258484202</v>
      </c>
      <c r="AK47" s="13"/>
      <c r="BG47" s="13">
        <f t="shared" si="40"/>
        <v>3.142429679262317</v>
      </c>
      <c r="BH47" s="13">
        <f t="shared" si="41"/>
        <v>0.18859641442236624</v>
      </c>
    </row>
    <row r="48" spans="1:60" x14ac:dyDescent="0.25">
      <c r="A48" s="24">
        <v>7</v>
      </c>
      <c r="B48" s="13"/>
      <c r="C48" s="24">
        <v>11.945484505164917</v>
      </c>
      <c r="D48" s="24">
        <f t="shared" si="25"/>
        <v>5.9727422525824583</v>
      </c>
      <c r="E48" s="24">
        <f t="shared" si="26"/>
        <v>11.96322192602463</v>
      </c>
      <c r="F48" s="24">
        <f t="shared" si="27"/>
        <v>12.04072092602463</v>
      </c>
      <c r="G48" s="24">
        <v>7369.89</v>
      </c>
      <c r="H48" s="24">
        <f t="shared" si="28"/>
        <v>7.3698900000000007</v>
      </c>
      <c r="I48" s="24">
        <f t="shared" si="29"/>
        <v>175.03488750000002</v>
      </c>
      <c r="J48" s="33">
        <f t="shared" si="30"/>
        <v>6.8790405718543557E-2</v>
      </c>
      <c r="K48" s="24">
        <f t="shared" si="31"/>
        <v>68.790405718543553</v>
      </c>
      <c r="L48" s="33">
        <v>2880567.8499999987</v>
      </c>
      <c r="M48" s="33">
        <f t="shared" si="32"/>
        <v>1664.9682172999992</v>
      </c>
      <c r="N48" s="33">
        <f t="shared" si="33"/>
        <v>4771.8397296011444</v>
      </c>
      <c r="O48" s="33">
        <f t="shared" si="34"/>
        <v>2.7147214738588334E-5</v>
      </c>
      <c r="P48" s="33">
        <f t="shared" si="35"/>
        <v>0.25908431567521911</v>
      </c>
      <c r="Q48" s="15"/>
      <c r="R48" s="33">
        <f t="shared" si="13"/>
        <v>26124.610074626868</v>
      </c>
      <c r="S48" s="33">
        <f t="shared" si="14"/>
        <v>1.1602278716113691E-5</v>
      </c>
      <c r="T48" s="33">
        <f t="shared" si="36"/>
        <v>0.60621001487122517</v>
      </c>
      <c r="U48" s="33">
        <f t="shared" si="15"/>
        <v>0.18265687855129834</v>
      </c>
      <c r="V48" s="33">
        <f t="shared" si="16"/>
        <v>18.265687855129833</v>
      </c>
      <c r="W48" s="15"/>
      <c r="X48" s="15"/>
      <c r="Y48" s="24">
        <v>8.44</v>
      </c>
      <c r="Z48" s="24">
        <f t="shared" si="37"/>
        <v>8.4385263089382114</v>
      </c>
      <c r="AA48" s="24">
        <f t="shared" si="38"/>
        <v>4.2192631544691057</v>
      </c>
      <c r="AC48" s="13"/>
      <c r="AD48" s="33">
        <f t="shared" si="23"/>
        <v>0.35041615700515533</v>
      </c>
      <c r="AE48" s="13"/>
      <c r="AF48" s="33">
        <f t="shared" si="24"/>
        <v>16.28528976550729</v>
      </c>
      <c r="AG48" s="13"/>
      <c r="AH48" s="13">
        <f t="shared" si="39"/>
        <v>4.1453490508035058</v>
      </c>
      <c r="AK48" s="13"/>
      <c r="BG48" s="13">
        <f t="shared" si="40"/>
        <v>4.1552131723626387</v>
      </c>
      <c r="BH48" s="13">
        <f t="shared" si="41"/>
        <v>0.25285185576424668</v>
      </c>
    </row>
    <row r="49" spans="1:60" x14ac:dyDescent="0.25">
      <c r="A49" s="24">
        <v>8</v>
      </c>
      <c r="B49" s="13"/>
      <c r="C49" s="24">
        <v>18.212298233921963</v>
      </c>
      <c r="D49" s="24">
        <f t="shared" si="25"/>
        <v>9.1061491169609816</v>
      </c>
      <c r="E49" s="24">
        <f t="shared" si="26"/>
        <v>18.230035654781677</v>
      </c>
      <c r="F49" s="24">
        <f t="shared" si="27"/>
        <v>18.307534654781676</v>
      </c>
      <c r="G49" s="24">
        <v>7398.4</v>
      </c>
      <c r="H49" s="24">
        <f t="shared" si="28"/>
        <v>7.3983999999999996</v>
      </c>
      <c r="I49" s="24">
        <f t="shared" si="29"/>
        <v>175.71199999999999</v>
      </c>
      <c r="J49" s="33">
        <f t="shared" si="30"/>
        <v>0.10419057693715669</v>
      </c>
      <c r="K49" s="24">
        <f t="shared" si="31"/>
        <v>104.19057693715669</v>
      </c>
      <c r="L49" s="33">
        <v>3422080.9999999986</v>
      </c>
      <c r="M49" s="33">
        <f t="shared" si="32"/>
        <v>1977.9628179999991</v>
      </c>
      <c r="N49" s="33">
        <f t="shared" si="33"/>
        <v>5668.8899286691731</v>
      </c>
      <c r="O49" s="33">
        <f t="shared" si="34"/>
        <v>3.0711984329989775E-5</v>
      </c>
      <c r="P49" s="33">
        <f t="shared" si="35"/>
        <v>0.34820571731544897</v>
      </c>
      <c r="Q49" s="15"/>
      <c r="R49" s="33">
        <f t="shared" si="13"/>
        <v>26225.671641791039</v>
      </c>
      <c r="S49" s="33">
        <f t="shared" si="14"/>
        <v>1.4278861466872912E-5</v>
      </c>
      <c r="T49" s="33">
        <f t="shared" si="36"/>
        <v>0.74894546449766342</v>
      </c>
      <c r="U49" s="33">
        <f t="shared" si="15"/>
        <v>0.21615804567749197</v>
      </c>
      <c r="V49" s="33">
        <f t="shared" si="16"/>
        <v>21.615804567749198</v>
      </c>
      <c r="W49" s="15"/>
      <c r="X49" s="15"/>
      <c r="Y49" s="24">
        <v>10.88</v>
      </c>
      <c r="Z49" s="24">
        <f t="shared" si="37"/>
        <v>10.878526308938213</v>
      </c>
      <c r="AA49" s="24">
        <f t="shared" si="38"/>
        <v>5.4392631544691064</v>
      </c>
      <c r="AC49" s="13"/>
      <c r="AD49" s="33">
        <f t="shared" si="23"/>
        <v>0.29710516773750556</v>
      </c>
      <c r="AE49" s="13"/>
      <c r="AF49" s="33">
        <f t="shared" si="24"/>
        <v>15.620832410231596</v>
      </c>
      <c r="AG49" s="13"/>
      <c r="AH49" s="13">
        <f t="shared" si="39"/>
        <v>5.5712914770471835</v>
      </c>
      <c r="AK49" s="13"/>
      <c r="BG49" s="13">
        <f t="shared" si="40"/>
        <v>5.5977773122306784</v>
      </c>
      <c r="BH49" s="13">
        <f t="shared" si="41"/>
        <v>0.34569576370379124</v>
      </c>
    </row>
    <row r="50" spans="1:60" x14ac:dyDescent="0.25">
      <c r="A50" s="24">
        <v>9</v>
      </c>
      <c r="B50" s="13"/>
      <c r="C50" s="24">
        <v>24.12112829056991</v>
      </c>
      <c r="D50" s="24">
        <f t="shared" si="25"/>
        <v>12.060564145284955</v>
      </c>
      <c r="E50" s="24">
        <f t="shared" si="26"/>
        <v>24.138865711429624</v>
      </c>
      <c r="F50" s="24">
        <f t="shared" si="27"/>
        <v>24.216364711429623</v>
      </c>
      <c r="G50" s="24">
        <v>7433.85</v>
      </c>
      <c r="H50" s="24">
        <f t="shared" si="28"/>
        <v>7.4338500000000005</v>
      </c>
      <c r="I50" s="24">
        <f t="shared" si="29"/>
        <v>176.55393750000002</v>
      </c>
      <c r="J50" s="33">
        <f t="shared" si="30"/>
        <v>0.13716128370928923</v>
      </c>
      <c r="K50" s="24">
        <f t="shared" si="31"/>
        <v>137.16128370928922</v>
      </c>
      <c r="L50" s="33">
        <v>3940773.9399999995</v>
      </c>
      <c r="M50" s="33">
        <f t="shared" si="32"/>
        <v>2277.7673373199996</v>
      </c>
      <c r="N50" s="33">
        <f t="shared" si="33"/>
        <v>6528.1370311304563</v>
      </c>
      <c r="O50" s="33">
        <f t="shared" si="34"/>
        <v>3.2915601867204119E-5</v>
      </c>
      <c r="P50" s="33">
        <f t="shared" si="35"/>
        <v>0.42975511890248402</v>
      </c>
      <c r="Q50" s="15"/>
      <c r="R50" s="33">
        <f t="shared" si="13"/>
        <v>26351.333955223883</v>
      </c>
      <c r="S50" s="33">
        <f t="shared" si="14"/>
        <v>1.6383064052449805E-5</v>
      </c>
      <c r="T50" s="33">
        <f t="shared" si="36"/>
        <v>0.86343118411185671</v>
      </c>
      <c r="U50" s="33">
        <f t="shared" si="15"/>
        <v>0.24773459446960255</v>
      </c>
      <c r="V50" s="33">
        <f t="shared" si="16"/>
        <v>24.773459446960256</v>
      </c>
      <c r="W50" s="15"/>
      <c r="X50" s="15"/>
      <c r="Y50" s="24">
        <v>13.33</v>
      </c>
      <c r="Z50" s="24">
        <f t="shared" si="37"/>
        <v>13.328526308938212</v>
      </c>
      <c r="AA50" s="24">
        <f t="shared" si="38"/>
        <v>6.664263154469106</v>
      </c>
      <c r="AC50" s="13"/>
      <c r="AD50" s="33">
        <f t="shared" si="23"/>
        <v>0.27519667934814807</v>
      </c>
      <c r="AE50" s="13"/>
      <c r="AF50" s="33">
        <f t="shared" si="24"/>
        <v>15.507117568461814</v>
      </c>
      <c r="AG50" s="13"/>
      <c r="AH50" s="13">
        <f t="shared" si="39"/>
        <v>6.8760819024397444</v>
      </c>
      <c r="AK50" s="13"/>
      <c r="BG50" s="13">
        <f t="shared" si="40"/>
        <v>6.8298559190464898</v>
      </c>
      <c r="BH50" s="13">
        <f t="shared" si="41"/>
        <v>0.42595728056399945</v>
      </c>
    </row>
    <row r="51" spans="1:60" x14ac:dyDescent="0.25">
      <c r="A51" s="24">
        <v>10</v>
      </c>
      <c r="B51" s="13"/>
      <c r="C51" s="24">
        <v>29.940429523492504</v>
      </c>
      <c r="D51" s="24">
        <f t="shared" si="25"/>
        <v>14.970214761746252</v>
      </c>
      <c r="E51" s="24">
        <f t="shared" si="26"/>
        <v>29.958166944352218</v>
      </c>
      <c r="F51" s="24">
        <f t="shared" si="27"/>
        <v>30.035665944352218</v>
      </c>
      <c r="G51" s="24">
        <v>7480.86</v>
      </c>
      <c r="H51" s="24">
        <f t="shared" si="28"/>
        <v>7.4808599999999998</v>
      </c>
      <c r="I51" s="24">
        <f t="shared" si="29"/>
        <v>177.67042499999999</v>
      </c>
      <c r="J51" s="33">
        <f t="shared" si="30"/>
        <v>0.16905270499776323</v>
      </c>
      <c r="K51" s="24">
        <f t="shared" si="31"/>
        <v>169.05270499776324</v>
      </c>
      <c r="L51" s="33">
        <v>4359313.3999999976</v>
      </c>
      <c r="M51" s="33">
        <f t="shared" si="32"/>
        <v>2519.6831451999983</v>
      </c>
      <c r="N51" s="33">
        <f t="shared" si="33"/>
        <v>7221.473667389102</v>
      </c>
      <c r="O51" s="33">
        <f t="shared" si="34"/>
        <v>3.4853602520063783E-5</v>
      </c>
      <c r="P51" s="33">
        <f t="shared" si="35"/>
        <v>0.50338874562457414</v>
      </c>
      <c r="Q51" s="15"/>
      <c r="R51" s="33">
        <f t="shared" si="13"/>
        <v>26517.973880597016</v>
      </c>
      <c r="S51" s="33">
        <f t="shared" si="14"/>
        <v>1.818822930256071E-5</v>
      </c>
      <c r="T51" s="33">
        <f t="shared" si="36"/>
        <v>0.96462997915922832</v>
      </c>
      <c r="U51" s="33">
        <f t="shared" si="15"/>
        <v>0.27232373407958577</v>
      </c>
      <c r="V51" s="33">
        <f t="shared" si="16"/>
        <v>27.232373407958576</v>
      </c>
      <c r="W51" s="15"/>
      <c r="X51" s="15"/>
      <c r="Y51" s="24">
        <v>15.86</v>
      </c>
      <c r="Z51" s="24">
        <f t="shared" si="37"/>
        <v>15.858526308938211</v>
      </c>
      <c r="AA51" s="24">
        <f t="shared" si="38"/>
        <v>7.9292631544691057</v>
      </c>
      <c r="AC51" s="13"/>
      <c r="AD51" s="33">
        <f t="shared" si="23"/>
        <v>0.26399491754768606</v>
      </c>
      <c r="AE51" s="13"/>
      <c r="AF51" s="33">
        <f t="shared" si="24"/>
        <v>15.751768833510488</v>
      </c>
      <c r="AG51" s="13"/>
      <c r="AH51" s="13">
        <f t="shared" si="39"/>
        <v>8.0542199299931863</v>
      </c>
      <c r="AK51" s="13"/>
      <c r="BG51" s="13">
        <f t="shared" si="40"/>
        <v>7.9602898379561857</v>
      </c>
      <c r="BH51" s="13">
        <f t="shared" si="41"/>
        <v>0.50023673530475454</v>
      </c>
    </row>
    <row r="52" spans="1:60" x14ac:dyDescent="0.25">
      <c r="A52" s="24">
        <v>11</v>
      </c>
      <c r="B52" s="13"/>
      <c r="C52" s="24">
        <v>36.228483838720592</v>
      </c>
      <c r="D52" s="24">
        <f t="shared" si="25"/>
        <v>18.114241919360296</v>
      </c>
      <c r="E52" s="24">
        <f t="shared" si="26"/>
        <v>36.246221259580302</v>
      </c>
      <c r="F52" s="24">
        <f t="shared" si="27"/>
        <v>36.323720259580305</v>
      </c>
      <c r="G52" s="24">
        <v>7507.26</v>
      </c>
      <c r="H52" s="24">
        <f t="shared" si="28"/>
        <v>7.5072600000000005</v>
      </c>
      <c r="I52" s="24">
        <f t="shared" si="29"/>
        <v>178.297425</v>
      </c>
      <c r="J52" s="33">
        <f t="shared" si="30"/>
        <v>0.20372543383383301</v>
      </c>
      <c r="K52" s="24">
        <f t="shared" si="31"/>
        <v>203.72543383383302</v>
      </c>
      <c r="L52" s="33">
        <v>4707091.0199999977</v>
      </c>
      <c r="M52" s="33">
        <f t="shared" si="32"/>
        <v>2720.6986095599982</v>
      </c>
      <c r="N52" s="33">
        <f t="shared" si="33"/>
        <v>7797.5889163953452</v>
      </c>
      <c r="O52" s="33">
        <f t="shared" si="34"/>
        <v>3.68856083512895E-5</v>
      </c>
      <c r="P52" s="33">
        <f t="shared" si="35"/>
        <v>0.57523762170902915</v>
      </c>
      <c r="Q52" s="15"/>
      <c r="R52" s="33">
        <f t="shared" si="13"/>
        <v>26611.555970149257</v>
      </c>
      <c r="S52" s="33">
        <f t="shared" si="14"/>
        <v>1.9966501923218809E-5</v>
      </c>
      <c r="T52" s="33">
        <f t="shared" si="36"/>
        <v>1.0626793669156602</v>
      </c>
      <c r="U52" s="33">
        <f t="shared" si="15"/>
        <v>0.29301514444108662</v>
      </c>
      <c r="V52" s="33">
        <f t="shared" si="16"/>
        <v>29.301514444108662</v>
      </c>
      <c r="W52" s="15"/>
      <c r="X52" s="15"/>
      <c r="Y52" s="24">
        <v>18.11</v>
      </c>
      <c r="Z52" s="24">
        <f t="shared" si="37"/>
        <v>18.108526308938213</v>
      </c>
      <c r="AA52" s="24">
        <f t="shared" si="38"/>
        <v>9.0542631544691066</v>
      </c>
      <c r="AC52" s="13"/>
      <c r="AD52" s="33">
        <f t="shared" si="23"/>
        <v>0.24926585409656829</v>
      </c>
      <c r="AE52" s="13"/>
      <c r="AF52" s="33">
        <f t="shared" si="24"/>
        <v>15.740039963952496</v>
      </c>
      <c r="AG52" s="13"/>
      <c r="AH52" s="13">
        <f>P52*16</f>
        <v>9.2038019473444663</v>
      </c>
      <c r="AK52" s="13"/>
      <c r="BG52" s="13">
        <f t="shared" si="40"/>
        <v>9.1125644922692484</v>
      </c>
      <c r="BH52" s="13">
        <f t="shared" si="41"/>
        <v>0.57649186469083213</v>
      </c>
    </row>
    <row r="53" spans="1:60" x14ac:dyDescent="0.25">
      <c r="A53" s="24">
        <v>12</v>
      </c>
      <c r="B53" s="13"/>
      <c r="C53" s="24">
        <v>42.366191602799816</v>
      </c>
      <c r="D53" s="24">
        <f t="shared" si="25"/>
        <v>21.183095801399908</v>
      </c>
      <c r="E53" s="24">
        <f t="shared" si="26"/>
        <v>42.383929023659526</v>
      </c>
      <c r="F53" s="24">
        <f t="shared" si="27"/>
        <v>42.461428023659529</v>
      </c>
      <c r="G53" s="24">
        <v>7537.89</v>
      </c>
      <c r="H53" s="24">
        <f t="shared" si="28"/>
        <v>7.53789</v>
      </c>
      <c r="I53" s="24">
        <f t="shared" si="29"/>
        <v>179.02488750000001</v>
      </c>
      <c r="J53" s="33">
        <f t="shared" si="30"/>
        <v>0.23718170482670756</v>
      </c>
      <c r="K53" s="24">
        <f t="shared" si="31"/>
        <v>237.18170482670754</v>
      </c>
      <c r="L53" s="33">
        <v>5060860.6599999974</v>
      </c>
      <c r="M53" s="33">
        <f t="shared" si="32"/>
        <v>2925.1774614799983</v>
      </c>
      <c r="N53" s="33">
        <f t="shared" si="33"/>
        <v>8383.6303190579129</v>
      </c>
      <c r="O53" s="33">
        <f t="shared" si="34"/>
        <v>3.8461232345080191E-5</v>
      </c>
      <c r="P53" s="33">
        <f t="shared" si="35"/>
        <v>0.64488950719309035</v>
      </c>
      <c r="Q53" s="15"/>
      <c r="R53" s="33">
        <f t="shared" si="13"/>
        <v>26720.132462686564</v>
      </c>
      <c r="S53" s="33">
        <f t="shared" si="14"/>
        <v>2.1543683086581657E-5</v>
      </c>
      <c r="T53" s="33">
        <f t="shared" si="36"/>
        <v>1.1513001316152041</v>
      </c>
      <c r="U53" s="33">
        <f t="shared" si="15"/>
        <v>0.31375706429469491</v>
      </c>
      <c r="V53" s="33">
        <f t="shared" si="16"/>
        <v>31.375706429469492</v>
      </c>
      <c r="W53" s="15"/>
      <c r="X53" s="15"/>
      <c r="Y53" s="24">
        <v>20.36</v>
      </c>
      <c r="Z53" s="24">
        <f t="shared" si="37"/>
        <v>20.358526308938213</v>
      </c>
      <c r="AA53" s="24">
        <f t="shared" si="38"/>
        <v>10.179263154469107</v>
      </c>
      <c r="AC53" s="13"/>
      <c r="AD53" s="33">
        <f t="shared" si="23"/>
        <v>0.23972964707633515</v>
      </c>
      <c r="AE53" s="13"/>
      <c r="AF53" s="33">
        <f t="shared" si="24"/>
        <v>15.784507331767255</v>
      </c>
      <c r="AG53" s="13"/>
      <c r="AH53" s="13">
        <f t="shared" si="39"/>
        <v>10.318232115089446</v>
      </c>
      <c r="AK53" s="13"/>
      <c r="BG53" s="13">
        <f t="shared" si="40"/>
        <v>10.182701533015365</v>
      </c>
      <c r="BH53" s="13">
        <f t="shared" si="41"/>
        <v>0.64774235028355887</v>
      </c>
    </row>
    <row r="54" spans="1:60" x14ac:dyDescent="0.25">
      <c r="A54" s="25">
        <v>13</v>
      </c>
      <c r="B54" s="2"/>
      <c r="C54" s="25">
        <v>48.026707097634677</v>
      </c>
      <c r="D54" s="24">
        <f t="shared" si="25"/>
        <v>24.013353548817339</v>
      </c>
      <c r="E54" s="25">
        <f t="shared" si="26"/>
        <v>48.044444518494387</v>
      </c>
      <c r="F54" s="25">
        <f t="shared" si="27"/>
        <v>48.12194351849439</v>
      </c>
      <c r="G54" s="25">
        <v>7565.64</v>
      </c>
      <c r="H54" s="25">
        <f t="shared" si="28"/>
        <v>7.5656400000000001</v>
      </c>
      <c r="I54" s="25">
        <f t="shared" si="29"/>
        <v>179.68395000000001</v>
      </c>
      <c r="J54" s="25">
        <f t="shared" si="30"/>
        <v>0.26781436805287501</v>
      </c>
      <c r="K54" s="25">
        <f t="shared" si="31"/>
        <v>267.81436805287501</v>
      </c>
      <c r="L54" s="25">
        <v>5371645.3999999976</v>
      </c>
      <c r="M54" s="25">
        <f t="shared" si="32"/>
        <v>3104.8110411999983</v>
      </c>
      <c r="N54" s="25">
        <f>M54*($F$5/$F$14)</f>
        <v>8898.464562481744</v>
      </c>
      <c r="O54" s="25">
        <f t="shared" si="34"/>
        <v>3.974257470128181E-5</v>
      </c>
      <c r="P54" s="25">
        <f t="shared" si="35"/>
        <v>0.70729578520227931</v>
      </c>
      <c r="Q54" s="15"/>
      <c r="R54" s="25">
        <f t="shared" si="13"/>
        <v>26818.5</v>
      </c>
      <c r="S54" s="25">
        <f t="shared" si="14"/>
        <v>2.2892661945258769E-5</v>
      </c>
      <c r="T54" s="25">
        <f t="shared" si="36"/>
        <v>1.2278937087578445</v>
      </c>
      <c r="U54" s="25">
        <f t="shared" si="15"/>
        <v>0.33180321652895367</v>
      </c>
      <c r="V54" s="33">
        <f t="shared" si="16"/>
        <v>33.180321652895366</v>
      </c>
      <c r="W54" s="15"/>
      <c r="X54" s="15"/>
      <c r="Y54" s="25">
        <v>22.58</v>
      </c>
      <c r="Z54" s="25">
        <f>Y54-$Y$40</f>
        <v>22.578526308938212</v>
      </c>
      <c r="AA54" s="25">
        <f>Z54/2</f>
        <v>11.289263154469106</v>
      </c>
      <c r="AB54" s="15"/>
      <c r="AC54" s="13"/>
      <c r="AD54" s="25">
        <f t="shared" si="23"/>
        <v>0.23459699108225704</v>
      </c>
      <c r="AE54" s="2"/>
      <c r="AF54" s="25">
        <f t="shared" si="24"/>
        <v>15.961162770453232</v>
      </c>
      <c r="AG54" s="2"/>
      <c r="AH54" s="2">
        <f t="shared" si="39"/>
        <v>11.316732563236469</v>
      </c>
      <c r="AK54" s="13"/>
      <c r="AO54" s="2"/>
      <c r="AP54" s="2"/>
      <c r="AQ54" s="2"/>
      <c r="AR54" s="2"/>
      <c r="AS54" s="2"/>
      <c r="AW54" s="2"/>
      <c r="AX54" s="2"/>
      <c r="AY54" s="2"/>
      <c r="AZ54" s="2"/>
      <c r="BA54" s="2"/>
      <c r="BG54" s="2">
        <f t="shared" si="40"/>
        <v>11.130526613416336</v>
      </c>
      <c r="BH54" s="2">
        <f t="shared" si="41"/>
        <v>0.71116121017219269</v>
      </c>
    </row>
    <row r="55" spans="1:60" x14ac:dyDescent="0.25">
      <c r="J55" s="15"/>
      <c r="K55" s="15"/>
      <c r="M55" s="15"/>
      <c r="N55" s="15"/>
      <c r="O55" s="33"/>
      <c r="P55" s="15"/>
      <c r="Q55" s="15"/>
      <c r="R55" s="33"/>
      <c r="S55" s="33"/>
      <c r="T55" s="33"/>
      <c r="U55" s="33"/>
      <c r="V55" s="33"/>
      <c r="W55" s="15"/>
      <c r="X55" s="15"/>
      <c r="AD55" s="15"/>
      <c r="AF55" s="15"/>
      <c r="AH55" s="15"/>
    </row>
    <row r="56" spans="1:60" x14ac:dyDescent="0.25">
      <c r="J56" s="15"/>
      <c r="K56" s="15"/>
      <c r="M56" s="15"/>
      <c r="N56" s="15"/>
      <c r="O56" s="33"/>
      <c r="P56" s="15"/>
      <c r="Q56" s="15"/>
      <c r="R56" s="33"/>
      <c r="S56" s="33"/>
      <c r="T56" s="33"/>
      <c r="U56" s="33"/>
      <c r="V56" s="33"/>
      <c r="W56" s="15"/>
      <c r="X56" s="15"/>
      <c r="Y56" s="10" t="s">
        <v>28</v>
      </c>
      <c r="Z56" s="10" t="s">
        <v>28</v>
      </c>
      <c r="AA56" s="10" t="s">
        <v>28</v>
      </c>
      <c r="AD56" s="15"/>
      <c r="AF56" s="15"/>
      <c r="AH56" s="15"/>
    </row>
    <row r="57" spans="1:60" x14ac:dyDescent="0.25">
      <c r="A57" s="18" t="s">
        <v>24</v>
      </c>
      <c r="B57" s="18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5"/>
      <c r="P57" s="2"/>
      <c r="Q57" s="15"/>
      <c r="R57" s="25"/>
      <c r="S57" s="33"/>
      <c r="T57" s="33"/>
      <c r="U57" s="33"/>
      <c r="V57" s="33"/>
      <c r="W57" s="15"/>
      <c r="X57" s="15"/>
      <c r="Y57" s="18" t="s">
        <v>27</v>
      </c>
      <c r="Z57" s="18" t="s">
        <v>29</v>
      </c>
      <c r="AA57" s="18" t="s">
        <v>30</v>
      </c>
      <c r="AB57" s="26"/>
      <c r="AC57" s="13"/>
      <c r="AD57" s="18" t="s">
        <v>14</v>
      </c>
      <c r="AE57" s="2"/>
      <c r="AF57" s="18" t="s">
        <v>17</v>
      </c>
      <c r="AG57" s="2"/>
      <c r="AH57" s="18" t="s">
        <v>16</v>
      </c>
      <c r="AO57" s="18" t="s">
        <v>60</v>
      </c>
      <c r="AP57" s="18"/>
      <c r="AQ57" s="2"/>
      <c r="AR57" s="2"/>
      <c r="AS57" s="2"/>
      <c r="AT57" s="13"/>
      <c r="AU57" s="13"/>
      <c r="AV57" s="13"/>
      <c r="AW57" s="18" t="s">
        <v>61</v>
      </c>
      <c r="AX57" s="18"/>
      <c r="AY57" s="2"/>
      <c r="AZ57" s="2"/>
      <c r="BA57" s="2"/>
      <c r="BD57" s="2"/>
      <c r="BG57" s="2"/>
      <c r="BH57" s="2"/>
    </row>
    <row r="58" spans="1:60" ht="18.75" x14ac:dyDescent="0.35">
      <c r="A58" s="18" t="s">
        <v>0</v>
      </c>
      <c r="B58" s="18"/>
      <c r="C58" s="18" t="s">
        <v>12</v>
      </c>
      <c r="D58" s="18"/>
      <c r="E58" s="18" t="s">
        <v>13</v>
      </c>
      <c r="F58" s="18" t="s">
        <v>1</v>
      </c>
      <c r="G58" s="18" t="s">
        <v>19</v>
      </c>
      <c r="H58" s="18" t="s">
        <v>2</v>
      </c>
      <c r="I58" s="18" t="s">
        <v>3</v>
      </c>
      <c r="J58" s="18" t="s">
        <v>4</v>
      </c>
      <c r="K58" s="20" t="s">
        <v>15</v>
      </c>
      <c r="L58" s="18" t="s">
        <v>33</v>
      </c>
      <c r="M58" s="18" t="s">
        <v>34</v>
      </c>
      <c r="N58" s="18" t="s">
        <v>35</v>
      </c>
      <c r="O58" s="18" t="s">
        <v>9</v>
      </c>
      <c r="P58" s="18" t="s">
        <v>40</v>
      </c>
      <c r="Q58" s="26"/>
      <c r="R58" s="18" t="s">
        <v>43</v>
      </c>
      <c r="S58" s="20" t="s">
        <v>41</v>
      </c>
      <c r="T58" s="21" t="s">
        <v>42</v>
      </c>
      <c r="U58" s="21" t="s">
        <v>44</v>
      </c>
      <c r="V58" s="33"/>
      <c r="W58" s="15"/>
      <c r="X58" s="35" t="s">
        <v>32</v>
      </c>
      <c r="Y58" s="34">
        <v>1.6695724855028442E-2</v>
      </c>
      <c r="Z58" s="19"/>
      <c r="AA58" s="19"/>
      <c r="AB58" s="15"/>
      <c r="AC58" s="13"/>
      <c r="AD58" s="19"/>
      <c r="AE58" s="19"/>
      <c r="AF58" s="19"/>
      <c r="AG58" s="19"/>
      <c r="AH58" s="19"/>
      <c r="AI58" s="13"/>
      <c r="AJ58" s="13"/>
      <c r="AK58" s="13"/>
      <c r="AL58" s="13"/>
      <c r="AM58" s="13"/>
      <c r="AN58" s="13"/>
      <c r="AO58" s="19"/>
      <c r="AP58" s="20" t="s">
        <v>48</v>
      </c>
      <c r="AQ58" s="20"/>
      <c r="AR58" s="20" t="s">
        <v>47</v>
      </c>
      <c r="AS58" s="20"/>
      <c r="AT58" s="10"/>
      <c r="AW58" s="2"/>
      <c r="AX58" s="18" t="s">
        <v>48</v>
      </c>
      <c r="AY58" s="18"/>
      <c r="AZ58" s="18" t="s">
        <v>47</v>
      </c>
      <c r="BA58" s="18"/>
      <c r="BD58" s="2" t="s">
        <v>59</v>
      </c>
      <c r="BG58" s="2" t="s">
        <v>62</v>
      </c>
      <c r="BH58" s="2" t="s">
        <v>63</v>
      </c>
    </row>
    <row r="59" spans="1:60" ht="18" x14ac:dyDescent="0.35">
      <c r="A59" s="24">
        <v>0</v>
      </c>
      <c r="B59" s="13"/>
      <c r="C59" s="24">
        <v>-2.9857714095301566E-2</v>
      </c>
      <c r="D59" s="24">
        <f>C59/2</f>
        <v>-1.4928857047650783E-2</v>
      </c>
      <c r="E59" s="24">
        <f>C59-$C$59</f>
        <v>0</v>
      </c>
      <c r="F59" s="24">
        <f>E59+($F$2*9.81)</f>
        <v>7.7499000000000012E-2</v>
      </c>
      <c r="G59" s="24">
        <v>7339.06</v>
      </c>
      <c r="H59" s="24">
        <f>G59/1000</f>
        <v>7.3390600000000008</v>
      </c>
      <c r="I59" s="24">
        <f>H59*$F$5</f>
        <v>174.30267500000002</v>
      </c>
      <c r="J59" s="33">
        <f>F59/I59</f>
        <v>4.4462312468813233E-4</v>
      </c>
      <c r="K59" s="33">
        <f t="shared" si="31"/>
        <v>0.44462312468813231</v>
      </c>
      <c r="L59" s="32">
        <v>231017.56000000003</v>
      </c>
      <c r="M59" s="32">
        <f>((L59*$F$6)/1000)</f>
        <v>133.52814968000001</v>
      </c>
      <c r="N59" s="32">
        <f>M59*($F$5/$F$14)</f>
        <v>382.69495059577116</v>
      </c>
      <c r="O59" s="33">
        <f t="shared" si="34"/>
        <v>7.6906605097499195E-6</v>
      </c>
      <c r="P59" s="33">
        <f>2*O59*N59</f>
        <v>5.8863538876551876E-3</v>
      </c>
      <c r="Q59" s="15"/>
      <c r="R59" s="33">
        <f t="shared" si="13"/>
        <v>26015.324626865677</v>
      </c>
      <c r="S59" s="33">
        <f t="shared" si="14"/>
        <v>9.3277174432585747E-7</v>
      </c>
      <c r="T59" s="33">
        <f t="shared" si="36"/>
        <v>4.8532719462809869E-2</v>
      </c>
      <c r="U59" s="33">
        <f t="shared" si="15"/>
        <v>1.471036614321419E-2</v>
      </c>
      <c r="V59" s="33">
        <f t="shared" si="16"/>
        <v>1.4710366143214189</v>
      </c>
      <c r="W59" s="15"/>
      <c r="X59" s="15"/>
      <c r="Y59" s="24">
        <v>0.46</v>
      </c>
      <c r="Z59" s="24">
        <f>Y59-$Y$58</f>
        <v>0.44330427514497156</v>
      </c>
      <c r="AA59" s="24">
        <f>Z59/2</f>
        <v>0.22165213757248578</v>
      </c>
      <c r="AB59" s="27"/>
      <c r="AC59" s="13"/>
      <c r="AD59" s="32">
        <f t="shared" ref="AD59:AD72" si="42">AA59/F59</f>
        <v>2.8600644856383406</v>
      </c>
      <c r="AE59" s="13"/>
      <c r="AF59" s="33">
        <f t="shared" ref="AF59:AF72" si="43">AA59/P59</f>
        <v>37.655251757345546</v>
      </c>
      <c r="AG59" s="13"/>
      <c r="AH59" s="15">
        <f>P59*17</f>
        <v>0.10006801609013818</v>
      </c>
      <c r="AO59" s="10" t="s">
        <v>55</v>
      </c>
      <c r="AP59">
        <v>0.74399999999999999</v>
      </c>
      <c r="AR59">
        <v>0.68540000000000001</v>
      </c>
      <c r="AS59">
        <v>0.80259999999999998</v>
      </c>
      <c r="AW59" s="46" t="s">
        <v>57</v>
      </c>
      <c r="AX59" s="13">
        <v>4.6109999999999998E-2</v>
      </c>
      <c r="AY59" s="13"/>
      <c r="AZ59" s="13">
        <v>4.3540000000000002E-2</v>
      </c>
      <c r="BA59" s="13">
        <v>4.8669999999999998E-2</v>
      </c>
      <c r="BD59">
        <f>AP59/AX59</f>
        <v>16.135328562134028</v>
      </c>
      <c r="BG59" s="38">
        <f>$AP$59*(F59^$AP$60)</f>
        <v>0.12282992250317</v>
      </c>
      <c r="BH59" s="38">
        <f>$AX$59*(F59^$AX$60)</f>
        <v>7.9385632344262935E-3</v>
      </c>
    </row>
    <row r="60" spans="1:60" ht="18" x14ac:dyDescent="0.35">
      <c r="A60" s="24">
        <v>1</v>
      </c>
      <c r="B60" s="13"/>
      <c r="C60" s="24">
        <v>0.68995368210596786</v>
      </c>
      <c r="D60" s="24">
        <f t="shared" ref="D60:D72" si="44">C60/2</f>
        <v>0.34497684105298393</v>
      </c>
      <c r="E60" s="24">
        <f t="shared" ref="E60:E72" si="45">C60-$C$59</f>
        <v>0.71981139620126944</v>
      </c>
      <c r="F60" s="24">
        <f t="shared" ref="F60:F72" si="46">E60+($F$3*9.81)</f>
        <v>0.71981139620126944</v>
      </c>
      <c r="G60" s="24">
        <v>7358.33</v>
      </c>
      <c r="H60" s="24">
        <f t="shared" ref="H60:H72" si="47">G60/1000</f>
        <v>7.3583299999999996</v>
      </c>
      <c r="I60" s="24">
        <f t="shared" ref="I60:I72" si="48">H60*$F$5</f>
        <v>174.76033749999999</v>
      </c>
      <c r="J60" s="33">
        <f t="shared" ref="J60:J72" si="49">F60/I60</f>
        <v>4.1188487416446507E-3</v>
      </c>
      <c r="K60" s="33">
        <f t="shared" si="31"/>
        <v>4.1188487416446504</v>
      </c>
      <c r="L60" s="33">
        <v>593314.44000000006</v>
      </c>
      <c r="M60" s="33">
        <f t="shared" ref="M60:M72" si="50">((L60*$F$6)/1000)</f>
        <v>342.93574632000002</v>
      </c>
      <c r="N60" s="33">
        <f t="shared" ref="N60:N72" si="51">M60*($F$5/$F$14)</f>
        <v>982.86225646032108</v>
      </c>
      <c r="O60" s="33">
        <f t="shared" si="34"/>
        <v>1.462530687923818E-5</v>
      </c>
      <c r="P60" s="33">
        <f t="shared" ref="P60:P72" si="52">2*O60*N60</f>
        <v>2.8749324241505388E-2</v>
      </c>
      <c r="Q60" s="15"/>
      <c r="R60" s="33">
        <f t="shared" si="13"/>
        <v>26083.632462686564</v>
      </c>
      <c r="S60" s="33">
        <f t="shared" si="14"/>
        <v>2.8390123411191644E-6</v>
      </c>
      <c r="T60" s="33">
        <f t="shared" si="36"/>
        <v>0.14810350892556723</v>
      </c>
      <c r="U60" s="33">
        <f t="shared" si="15"/>
        <v>3.7681187919908612E-2</v>
      </c>
      <c r="V60" s="33">
        <f t="shared" si="16"/>
        <v>3.7681187919908612</v>
      </c>
      <c r="W60" s="15"/>
      <c r="X60" s="15"/>
      <c r="Y60" s="24">
        <v>1.37</v>
      </c>
      <c r="Z60" s="24">
        <f t="shared" ref="Z60:Z72" si="53">Y60-$Y$58</f>
        <v>1.3533042751449718</v>
      </c>
      <c r="AA60" s="24">
        <f t="shared" ref="AA60:AA72" si="54">Z60/2</f>
        <v>0.67665213757248588</v>
      </c>
      <c r="AC60" s="13"/>
      <c r="AD60" s="33">
        <f t="shared" si="42"/>
        <v>0.94004087896280597</v>
      </c>
      <c r="AE60" s="13"/>
      <c r="AF60" s="33">
        <f t="shared" si="43"/>
        <v>23.536279736119969</v>
      </c>
      <c r="AG60" s="13"/>
      <c r="AH60" s="15">
        <f t="shared" ref="AH60:AH72" si="55">P60*17</f>
        <v>0.4887385121055916</v>
      </c>
      <c r="AO60" s="10" t="s">
        <v>56</v>
      </c>
      <c r="AP60">
        <v>0.70430000000000004</v>
      </c>
      <c r="AR60">
        <v>0.68179999999999996</v>
      </c>
      <c r="AS60">
        <v>0.72689999999999999</v>
      </c>
      <c r="AW60" s="46" t="s">
        <v>58</v>
      </c>
      <c r="AX60" s="13">
        <v>0.68789999999999996</v>
      </c>
      <c r="AY60" s="13"/>
      <c r="AZ60" s="13">
        <v>0.67200000000000004</v>
      </c>
      <c r="BA60" s="13">
        <v>0.70389999999999997</v>
      </c>
      <c r="BG60" s="15">
        <f t="shared" ref="BG60:BG72" si="56">$AP$59*(F60^$AP$60)</f>
        <v>0.5902174953217042</v>
      </c>
      <c r="BH60" s="15">
        <f t="shared" ref="BH60:BH72" si="57">$AX$59*(F60^$AX$60)</f>
        <v>3.6776964324477961E-2</v>
      </c>
    </row>
    <row r="61" spans="1:60" x14ac:dyDescent="0.25">
      <c r="A61" s="24">
        <v>2</v>
      </c>
      <c r="B61" s="13"/>
      <c r="C61" s="24">
        <v>1.5672865711429671</v>
      </c>
      <c r="D61" s="24">
        <f t="shared" si="44"/>
        <v>0.78364328557148355</v>
      </c>
      <c r="E61" s="24">
        <f t="shared" si="45"/>
        <v>1.5971442852382687</v>
      </c>
      <c r="F61" s="24">
        <f t="shared" si="46"/>
        <v>1.5971442852382687</v>
      </c>
      <c r="G61" s="24">
        <v>7362.95</v>
      </c>
      <c r="H61" s="24">
        <f t="shared" si="47"/>
        <v>7.3629499999999997</v>
      </c>
      <c r="I61" s="24">
        <f t="shared" si="48"/>
        <v>174.87006249999999</v>
      </c>
      <c r="J61" s="33">
        <f t="shared" si="49"/>
        <v>9.1333202630854479E-3</v>
      </c>
      <c r="K61" s="33">
        <f t="shared" si="31"/>
        <v>9.133320263085448</v>
      </c>
      <c r="L61" s="33">
        <v>979421.62000000011</v>
      </c>
      <c r="M61" s="33">
        <f t="shared" si="50"/>
        <v>566.10569636000002</v>
      </c>
      <c r="N61" s="33">
        <f t="shared" si="51"/>
        <v>1622.4728045709171</v>
      </c>
      <c r="O61" s="33">
        <f t="shared" si="34"/>
        <v>1.6956074663294114E-5</v>
      </c>
      <c r="P61" s="33">
        <f t="shared" si="52"/>
        <v>5.5021540026937342E-2</v>
      </c>
      <c r="Q61" s="15"/>
      <c r="R61" s="33">
        <f t="shared" si="13"/>
        <v>26100.009328358206</v>
      </c>
      <c r="S61" s="33">
        <f t="shared" si="14"/>
        <v>4.2275981771634304E-6</v>
      </c>
      <c r="T61" s="33">
        <f t="shared" si="36"/>
        <v>0.22068070372103135</v>
      </c>
      <c r="U61" s="33">
        <f t="shared" si="15"/>
        <v>6.2163686769570098E-2</v>
      </c>
      <c r="V61" s="33">
        <f t="shared" si="16"/>
        <v>6.2163686769570097</v>
      </c>
      <c r="W61" s="15"/>
      <c r="X61" s="15"/>
      <c r="Y61" s="24">
        <v>2.33</v>
      </c>
      <c r="Z61" s="24">
        <f t="shared" si="53"/>
        <v>2.3133042751449717</v>
      </c>
      <c r="AA61" s="24">
        <f t="shared" si="54"/>
        <v>1.1566521375724859</v>
      </c>
      <c r="AC61" s="13"/>
      <c r="AD61" s="33">
        <f t="shared" si="42"/>
        <v>0.72420015415196604</v>
      </c>
      <c r="AE61" s="13"/>
      <c r="AF61" s="33">
        <f t="shared" si="43"/>
        <v>21.021805951018717</v>
      </c>
      <c r="AG61" s="13"/>
      <c r="AH61" s="15">
        <f t="shared" si="55"/>
        <v>0.93536618045793485</v>
      </c>
      <c r="BG61" s="15">
        <f t="shared" si="56"/>
        <v>1.034637515543231</v>
      </c>
      <c r="BH61" s="15">
        <f t="shared" si="57"/>
        <v>6.3631998629199493E-2</v>
      </c>
    </row>
    <row r="62" spans="1:60" x14ac:dyDescent="0.25">
      <c r="A62" s="24">
        <v>3</v>
      </c>
      <c r="B62" s="13"/>
      <c r="C62" s="24">
        <v>3.1964838387204146</v>
      </c>
      <c r="D62" s="24">
        <f t="shared" si="44"/>
        <v>1.5982419193602073</v>
      </c>
      <c r="E62" s="24">
        <f t="shared" si="45"/>
        <v>3.226341552815716</v>
      </c>
      <c r="F62" s="24">
        <f t="shared" si="46"/>
        <v>3.226341552815716</v>
      </c>
      <c r="G62" s="24">
        <v>7372.19</v>
      </c>
      <c r="H62" s="24">
        <f t="shared" si="47"/>
        <v>7.3721899999999998</v>
      </c>
      <c r="I62" s="24">
        <f t="shared" si="48"/>
        <v>175.08951249999998</v>
      </c>
      <c r="J62" s="33">
        <f t="shared" si="49"/>
        <v>1.8426812130256608E-2</v>
      </c>
      <c r="K62" s="33">
        <f t="shared" si="31"/>
        <v>18.426812130256607</v>
      </c>
      <c r="L62" s="33">
        <v>1437195.5899999994</v>
      </c>
      <c r="M62" s="33">
        <f t="shared" si="50"/>
        <v>830.6990510199995</v>
      </c>
      <c r="N62" s="33">
        <f t="shared" si="51"/>
        <v>2380.8038458700271</v>
      </c>
      <c r="O62" s="33">
        <f t="shared" si="34"/>
        <v>1.9894604980757181E-5</v>
      </c>
      <c r="P62" s="33">
        <f t="shared" si="52"/>
        <v>9.4730304100503385E-2</v>
      </c>
      <c r="Q62" s="15"/>
      <c r="R62" s="33">
        <f t="shared" si="13"/>
        <v>26132.763059701494</v>
      </c>
      <c r="S62" s="33">
        <f t="shared" si="14"/>
        <v>6.0048817932333188E-6</v>
      </c>
      <c r="T62" s="33">
        <f t="shared" si="36"/>
        <v>0.31384830620816345</v>
      </c>
      <c r="U62" s="33">
        <f t="shared" si="15"/>
        <v>9.1104176027271652E-2</v>
      </c>
      <c r="V62" s="33">
        <f t="shared" si="16"/>
        <v>9.1104176027271659</v>
      </c>
      <c r="W62" s="15"/>
      <c r="X62" s="15"/>
      <c r="Y62" s="24">
        <v>3.46</v>
      </c>
      <c r="Z62" s="24">
        <f t="shared" si="53"/>
        <v>3.4433042751449716</v>
      </c>
      <c r="AA62" s="24">
        <f t="shared" si="54"/>
        <v>1.7216521375724858</v>
      </c>
      <c r="AC62" s="13"/>
      <c r="AD62" s="33">
        <f t="shared" si="42"/>
        <v>0.53362364442473653</v>
      </c>
      <c r="AE62" s="13"/>
      <c r="AF62" s="33">
        <f t="shared" si="43"/>
        <v>18.174249031713359</v>
      </c>
      <c r="AG62" s="13"/>
      <c r="AH62" s="15">
        <f t="shared" si="55"/>
        <v>1.6104151697085576</v>
      </c>
      <c r="BG62" s="15">
        <f t="shared" si="56"/>
        <v>1.6976870235965105</v>
      </c>
      <c r="BH62" s="15">
        <f t="shared" si="57"/>
        <v>0.10321360951804909</v>
      </c>
    </row>
    <row r="63" spans="1:60" x14ac:dyDescent="0.25">
      <c r="A63" s="24">
        <v>4</v>
      </c>
      <c r="B63" s="13"/>
      <c r="C63" s="24">
        <v>4.7800626457847262</v>
      </c>
      <c r="D63" s="24">
        <f t="shared" si="44"/>
        <v>2.3900313228923631</v>
      </c>
      <c r="E63" s="24">
        <f t="shared" si="45"/>
        <v>4.809920359880028</v>
      </c>
      <c r="F63" s="24">
        <f t="shared" si="46"/>
        <v>4.809920359880028</v>
      </c>
      <c r="G63" s="24">
        <v>7380.68</v>
      </c>
      <c r="H63" s="24">
        <f t="shared" si="47"/>
        <v>7.3806799999999999</v>
      </c>
      <c r="I63" s="24">
        <f t="shared" si="48"/>
        <v>175.29114999999999</v>
      </c>
      <c r="J63" s="33">
        <f t="shared" si="49"/>
        <v>2.7439607532268619E-2</v>
      </c>
      <c r="K63" s="33">
        <f t="shared" si="31"/>
        <v>27.439607532268621</v>
      </c>
      <c r="L63" s="33">
        <v>1880943.4599999995</v>
      </c>
      <c r="M63" s="33">
        <f t="shared" si="50"/>
        <v>1087.1853198799997</v>
      </c>
      <c r="N63" s="33">
        <f t="shared" si="51"/>
        <v>3115.8997805107915</v>
      </c>
      <c r="O63" s="33">
        <f t="shared" si="34"/>
        <v>2.12333813547173E-5</v>
      </c>
      <c r="P63" s="33">
        <f t="shared" si="52"/>
        <v>0.13232217660533113</v>
      </c>
      <c r="Q63" s="15"/>
      <c r="R63" s="33">
        <f t="shared" si="13"/>
        <v>26162.858208955222</v>
      </c>
      <c r="S63" s="33">
        <f t="shared" si="14"/>
        <v>7.327710555327449E-6</v>
      </c>
      <c r="T63" s="33">
        <f t="shared" si="36"/>
        <v>0.38342770451059316</v>
      </c>
      <c r="U63" s="33">
        <f t="shared" si="15"/>
        <v>0.11909630651303449</v>
      </c>
      <c r="V63" s="33">
        <f t="shared" si="16"/>
        <v>11.909630651303448</v>
      </c>
      <c r="W63" s="15"/>
      <c r="X63" s="15"/>
      <c r="Y63" s="24">
        <v>4.7</v>
      </c>
      <c r="Z63" s="24">
        <f t="shared" si="53"/>
        <v>4.6833042751449714</v>
      </c>
      <c r="AA63" s="24">
        <f t="shared" si="54"/>
        <v>2.3416521375724857</v>
      </c>
      <c r="AC63" s="13"/>
      <c r="AD63" s="33">
        <f t="shared" si="42"/>
        <v>0.48683802690464767</v>
      </c>
      <c r="AE63" s="13"/>
      <c r="AF63" s="33">
        <f t="shared" si="43"/>
        <v>17.696596274687813</v>
      </c>
      <c r="AG63" s="13"/>
      <c r="AH63" s="15">
        <f t="shared" si="55"/>
        <v>2.2494770022906292</v>
      </c>
      <c r="BG63" s="15">
        <f t="shared" si="56"/>
        <v>2.2490683209058333</v>
      </c>
      <c r="BH63" s="15">
        <f t="shared" si="57"/>
        <v>0.13584315940749109</v>
      </c>
    </row>
    <row r="64" spans="1:60" x14ac:dyDescent="0.25">
      <c r="A64" s="24">
        <v>5</v>
      </c>
      <c r="B64" s="13"/>
      <c r="C64" s="24">
        <v>6.4852659113629141</v>
      </c>
      <c r="D64" s="24">
        <f t="shared" si="44"/>
        <v>3.242632955681457</v>
      </c>
      <c r="E64" s="24">
        <f t="shared" si="45"/>
        <v>6.5151236254582159</v>
      </c>
      <c r="F64" s="24">
        <f t="shared" si="46"/>
        <v>6.5151236254582159</v>
      </c>
      <c r="G64" s="24">
        <v>7440.69</v>
      </c>
      <c r="H64" s="24">
        <f t="shared" si="47"/>
        <v>7.44069</v>
      </c>
      <c r="I64" s="24">
        <f t="shared" si="48"/>
        <v>176.7163875</v>
      </c>
      <c r="J64" s="33">
        <f t="shared" si="49"/>
        <v>3.6867682265507018E-2</v>
      </c>
      <c r="K64" s="33">
        <f t="shared" si="31"/>
        <v>36.867682265507021</v>
      </c>
      <c r="L64" s="33">
        <v>2239280.3399999989</v>
      </c>
      <c r="M64" s="33">
        <f t="shared" si="50"/>
        <v>1294.3040365199993</v>
      </c>
      <c r="N64" s="33">
        <f t="shared" si="51"/>
        <v>3709.5071001805277</v>
      </c>
      <c r="O64" s="33">
        <f t="shared" si="34"/>
        <v>2.2648799357771707E-5</v>
      </c>
      <c r="P64" s="33">
        <f t="shared" si="52"/>
        <v>0.16803176405643663</v>
      </c>
      <c r="Q64" s="15"/>
      <c r="R64" s="33">
        <f t="shared" si="13"/>
        <v>26375.580223880595</v>
      </c>
      <c r="S64" s="33">
        <f t="shared" si="14"/>
        <v>8.4938048119363429E-6</v>
      </c>
      <c r="T64" s="33">
        <f t="shared" si="36"/>
        <v>0.4480580604464201</v>
      </c>
      <c r="U64" s="33">
        <f t="shared" si="15"/>
        <v>0.14064172498551974</v>
      </c>
      <c r="V64" s="33">
        <f t="shared" si="16"/>
        <v>14.064172498551974</v>
      </c>
      <c r="W64" s="15"/>
      <c r="X64" s="15"/>
      <c r="Y64" s="24">
        <v>5.82</v>
      </c>
      <c r="Z64" s="24">
        <f t="shared" si="53"/>
        <v>5.8033042751449715</v>
      </c>
      <c r="AA64" s="24">
        <f t="shared" si="54"/>
        <v>2.9016521375724857</v>
      </c>
      <c r="AC64" s="13"/>
      <c r="AD64" s="33">
        <f t="shared" si="42"/>
        <v>0.44537176949860402</v>
      </c>
      <c r="AE64" s="13"/>
      <c r="AF64" s="33">
        <f t="shared" si="43"/>
        <v>17.268473933285087</v>
      </c>
      <c r="AG64" s="13"/>
      <c r="AH64" s="15">
        <f t="shared" si="55"/>
        <v>2.856539988959423</v>
      </c>
      <c r="BG64" s="15">
        <f t="shared" si="56"/>
        <v>2.7849581005666573</v>
      </c>
      <c r="BH64" s="15">
        <f t="shared" si="57"/>
        <v>0.16737574406615591</v>
      </c>
    </row>
    <row r="65" spans="1:60" x14ac:dyDescent="0.25">
      <c r="A65" s="24">
        <v>6</v>
      </c>
      <c r="B65" s="13"/>
      <c r="C65" s="24">
        <v>7.9754698433855644</v>
      </c>
      <c r="D65" s="24">
        <f t="shared" si="44"/>
        <v>3.9877349216927822</v>
      </c>
      <c r="E65" s="24">
        <f t="shared" si="45"/>
        <v>8.0053275574808662</v>
      </c>
      <c r="F65" s="24">
        <f t="shared" si="46"/>
        <v>8.0053275574808662</v>
      </c>
      <c r="G65" s="24">
        <v>7384.91</v>
      </c>
      <c r="H65" s="24">
        <f t="shared" si="47"/>
        <v>7.3849099999999996</v>
      </c>
      <c r="I65" s="24">
        <f t="shared" si="48"/>
        <v>175.39161249999998</v>
      </c>
      <c r="J65" s="33">
        <f t="shared" si="49"/>
        <v>4.5642590562766316E-2</v>
      </c>
      <c r="K65" s="33">
        <f t="shared" si="31"/>
        <v>45.642590562766316</v>
      </c>
      <c r="L65" s="33">
        <v>2523896.8699999982</v>
      </c>
      <c r="M65" s="33">
        <f t="shared" si="50"/>
        <v>1458.8123908599989</v>
      </c>
      <c r="N65" s="33">
        <f t="shared" si="51"/>
        <v>4180.9920768510874</v>
      </c>
      <c r="O65" s="33">
        <f t="shared" si="34"/>
        <v>2.3647859610748389E-5</v>
      </c>
      <c r="P65" s="33">
        <f t="shared" si="52"/>
        <v>0.19774302733405172</v>
      </c>
      <c r="Q65" s="15"/>
      <c r="R65" s="33">
        <f t="shared" si="13"/>
        <v>26177.852611940296</v>
      </c>
      <c r="S65" s="33">
        <f t="shared" si="14"/>
        <v>9.4507114107188875E-6</v>
      </c>
      <c r="T65" s="33">
        <f t="shared" si="36"/>
        <v>0.49479866077556278</v>
      </c>
      <c r="U65" s="33">
        <f t="shared" si="15"/>
        <v>0.15971486045207714</v>
      </c>
      <c r="V65" s="33">
        <f t="shared" si="16"/>
        <v>15.971486045207714</v>
      </c>
      <c r="W65" s="15"/>
      <c r="X65" s="15"/>
      <c r="Y65" s="24">
        <v>6.71</v>
      </c>
      <c r="Z65" s="24">
        <f t="shared" si="53"/>
        <v>6.6933042751449712</v>
      </c>
      <c r="AA65" s="24">
        <f t="shared" si="54"/>
        <v>3.3466521375724856</v>
      </c>
      <c r="AC65" s="13"/>
      <c r="AD65" s="33">
        <f t="shared" si="42"/>
        <v>0.41805311694523806</v>
      </c>
      <c r="AE65" s="13"/>
      <c r="AF65" s="33">
        <f t="shared" si="43"/>
        <v>16.924248519362006</v>
      </c>
      <c r="AG65" s="13"/>
      <c r="AH65" s="15">
        <f t="shared" si="55"/>
        <v>3.3616314646788794</v>
      </c>
      <c r="BG65" s="15">
        <f t="shared" si="56"/>
        <v>3.2197551052529851</v>
      </c>
      <c r="BH65" s="15">
        <f t="shared" si="57"/>
        <v>0.19285442575902348</v>
      </c>
    </row>
    <row r="66" spans="1:60" x14ac:dyDescent="0.25">
      <c r="A66" s="24">
        <v>7</v>
      </c>
      <c r="B66" s="13"/>
      <c r="C66" s="24">
        <v>12.003096301232905</v>
      </c>
      <c r="D66" s="24">
        <f t="shared" si="44"/>
        <v>6.0015481506164523</v>
      </c>
      <c r="E66" s="24">
        <f t="shared" si="45"/>
        <v>12.032954015328206</v>
      </c>
      <c r="F66" s="24">
        <f t="shared" si="46"/>
        <v>12.032954015328206</v>
      </c>
      <c r="G66" s="24">
        <v>7417.67</v>
      </c>
      <c r="H66" s="24">
        <f t="shared" si="47"/>
        <v>7.4176700000000002</v>
      </c>
      <c r="I66" s="24">
        <f t="shared" si="48"/>
        <v>176.16966250000002</v>
      </c>
      <c r="J66" s="33">
        <f t="shared" si="49"/>
        <v>6.8303213189888495E-2</v>
      </c>
      <c r="K66" s="33">
        <f t="shared" si="31"/>
        <v>68.303213189888496</v>
      </c>
      <c r="L66" s="33">
        <v>2908795.7399999988</v>
      </c>
      <c r="M66" s="33">
        <f t="shared" si="50"/>
        <v>1681.2839377199991</v>
      </c>
      <c r="N66" s="33">
        <f t="shared" si="51"/>
        <v>4818.6009843255588</v>
      </c>
      <c r="O66" s="33">
        <f t="shared" si="34"/>
        <v>2.7006456431891389E-5</v>
      </c>
      <c r="P66" s="33">
        <f t="shared" si="52"/>
        <v>0.26026667509171431</v>
      </c>
      <c r="Q66" s="15"/>
      <c r="R66" s="33">
        <f t="shared" si="13"/>
        <v>26293.979477611942</v>
      </c>
      <c r="S66" s="33">
        <f t="shared" si="14"/>
        <v>1.1561120452393153E-5</v>
      </c>
      <c r="T66" s="33">
        <f t="shared" si="36"/>
        <v>0.6079757278268505</v>
      </c>
      <c r="U66" s="33">
        <f t="shared" si="15"/>
        <v>0.1832587185377689</v>
      </c>
      <c r="V66" s="33">
        <f t="shared" si="16"/>
        <v>18.325871853776889</v>
      </c>
      <c r="W66" s="15"/>
      <c r="X66" s="15"/>
      <c r="Y66" s="24">
        <v>8.4700000000000006</v>
      </c>
      <c r="Z66" s="24">
        <f t="shared" si="53"/>
        <v>8.4533042751449727</v>
      </c>
      <c r="AA66" s="24">
        <f t="shared" si="54"/>
        <v>4.2266521375724864</v>
      </c>
      <c r="AC66" s="13"/>
      <c r="AD66" s="33">
        <f t="shared" si="42"/>
        <v>0.35125640239199418</v>
      </c>
      <c r="AE66" s="13"/>
      <c r="AF66" s="33">
        <f t="shared" si="43"/>
        <v>16.239697748791979</v>
      </c>
      <c r="AG66" s="13"/>
      <c r="AH66" s="15">
        <f t="shared" si="55"/>
        <v>4.4245334765591435</v>
      </c>
      <c r="BG66" s="15">
        <f t="shared" si="56"/>
        <v>4.2902155846700243</v>
      </c>
      <c r="BH66" s="15">
        <f t="shared" si="57"/>
        <v>0.25526025445433514</v>
      </c>
    </row>
    <row r="67" spans="1:60" x14ac:dyDescent="0.25">
      <c r="A67" s="24">
        <v>8</v>
      </c>
      <c r="B67" s="13"/>
      <c r="C67" s="24">
        <v>18.012382539153631</v>
      </c>
      <c r="D67" s="24">
        <f t="shared" si="44"/>
        <v>9.0061912695768154</v>
      </c>
      <c r="E67" s="24">
        <f t="shared" si="45"/>
        <v>18.042240253248931</v>
      </c>
      <c r="F67" s="24">
        <f t="shared" si="46"/>
        <v>18.042240253248931</v>
      </c>
      <c r="G67" s="24">
        <v>7449.26</v>
      </c>
      <c r="H67" s="24">
        <f t="shared" si="47"/>
        <v>7.4492600000000007</v>
      </c>
      <c r="I67" s="24">
        <f t="shared" si="48"/>
        <v>176.91992500000001</v>
      </c>
      <c r="J67" s="33">
        <f t="shared" si="49"/>
        <v>0.1019796964827389</v>
      </c>
      <c r="K67" s="33">
        <f t="shared" si="31"/>
        <v>101.9796964827389</v>
      </c>
      <c r="L67" s="33">
        <v>3335677.8699999987</v>
      </c>
      <c r="M67" s="33">
        <f t="shared" si="50"/>
        <v>1928.0218088599991</v>
      </c>
      <c r="N67" s="33">
        <f t="shared" si="51"/>
        <v>5525.757772106399</v>
      </c>
      <c r="O67" s="33">
        <f t="shared" si="34"/>
        <v>3.0880993683544752E-5</v>
      </c>
      <c r="P67" s="33">
        <f t="shared" si="52"/>
        <v>0.34128178171443208</v>
      </c>
      <c r="Q67" s="15"/>
      <c r="R67" s="33">
        <f t="shared" si="13"/>
        <v>26405.958955223879</v>
      </c>
      <c r="S67" s="33">
        <f t="shared" si="14"/>
        <v>1.4126553422922378E-5</v>
      </c>
      <c r="T67" s="33">
        <f t="shared" si="36"/>
        <v>0.7460503797289314</v>
      </c>
      <c r="U67" s="33">
        <f t="shared" si="15"/>
        <v>0.20926177237025662</v>
      </c>
      <c r="V67" s="33">
        <f t="shared" si="16"/>
        <v>20.926177237025662</v>
      </c>
      <c r="W67" s="15"/>
      <c r="X67" s="15"/>
      <c r="Y67" s="24">
        <v>11.11</v>
      </c>
      <c r="Z67" s="24">
        <f t="shared" si="53"/>
        <v>11.093304275144972</v>
      </c>
      <c r="AA67" s="24">
        <f t="shared" si="54"/>
        <v>5.5466521375724858</v>
      </c>
      <c r="AC67" s="13"/>
      <c r="AD67" s="33">
        <f t="shared" si="42"/>
        <v>0.3074259105142822</v>
      </c>
      <c r="AE67" s="13"/>
      <c r="AF67" s="33">
        <f t="shared" si="43"/>
        <v>16.252412038254224</v>
      </c>
      <c r="AG67" s="13"/>
      <c r="AH67" s="15">
        <f t="shared" si="55"/>
        <v>5.8017902891453454</v>
      </c>
      <c r="BG67" s="15">
        <f t="shared" si="56"/>
        <v>5.7066115057463636</v>
      </c>
      <c r="BH67" s="15">
        <f t="shared" si="57"/>
        <v>0.33728523567077401</v>
      </c>
    </row>
    <row r="68" spans="1:60" x14ac:dyDescent="0.25">
      <c r="A68" s="24">
        <v>9</v>
      </c>
      <c r="B68" s="13"/>
      <c r="C68" s="24">
        <v>24.144436521159708</v>
      </c>
      <c r="D68" s="24">
        <f t="shared" si="44"/>
        <v>12.072218260579854</v>
      </c>
      <c r="E68" s="24">
        <f t="shared" si="45"/>
        <v>24.174294235255008</v>
      </c>
      <c r="F68" s="24">
        <f t="shared" si="46"/>
        <v>24.174294235255008</v>
      </c>
      <c r="G68" s="24">
        <v>7477.68</v>
      </c>
      <c r="H68" s="24">
        <f t="shared" si="47"/>
        <v>7.4776800000000003</v>
      </c>
      <c r="I68" s="24">
        <f t="shared" si="48"/>
        <v>177.5949</v>
      </c>
      <c r="J68" s="33">
        <f t="shared" si="49"/>
        <v>0.13612043045861683</v>
      </c>
      <c r="K68" s="33">
        <f t="shared" si="31"/>
        <v>136.12043045861682</v>
      </c>
      <c r="L68" s="33">
        <v>3718149.1199999987</v>
      </c>
      <c r="M68" s="33">
        <f t="shared" si="50"/>
        <v>2149.0901913599992</v>
      </c>
      <c r="N68" s="33">
        <f t="shared" si="51"/>
        <v>6159.345176124747</v>
      </c>
      <c r="O68" s="33">
        <f t="shared" si="34"/>
        <v>3.3857242774950498E-5</v>
      </c>
      <c r="P68" s="33">
        <f t="shared" si="52"/>
        <v>0.41707688992555159</v>
      </c>
      <c r="Q68" s="15"/>
      <c r="R68" s="33">
        <f t="shared" si="13"/>
        <v>26506.701492537315</v>
      </c>
      <c r="S68" s="33">
        <f t="shared" si="14"/>
        <v>1.6320783943352338E-5</v>
      </c>
      <c r="T68" s="33">
        <f t="shared" si="36"/>
        <v>0.86522029622127294</v>
      </c>
      <c r="U68" s="33">
        <f t="shared" si="15"/>
        <v>0.23236935677790185</v>
      </c>
      <c r="V68" s="33">
        <f t="shared" si="16"/>
        <v>23.236935677790186</v>
      </c>
      <c r="W68" s="15"/>
      <c r="X68" s="15"/>
      <c r="Y68" s="24">
        <v>13.54</v>
      </c>
      <c r="Z68" s="24">
        <f t="shared" si="53"/>
        <v>13.523304275144971</v>
      </c>
      <c r="AA68" s="24">
        <f t="shared" si="54"/>
        <v>6.7616521375724856</v>
      </c>
      <c r="AC68" s="13"/>
      <c r="AD68" s="33">
        <f t="shared" si="42"/>
        <v>0.27970422101140441</v>
      </c>
      <c r="AE68" s="13"/>
      <c r="AF68" s="33">
        <f t="shared" si="43"/>
        <v>16.212003831666252</v>
      </c>
      <c r="AG68" s="13"/>
      <c r="AH68" s="15">
        <f t="shared" si="55"/>
        <v>7.0903071287343771</v>
      </c>
      <c r="BG68" s="15">
        <f t="shared" si="56"/>
        <v>7.0124377586521671</v>
      </c>
      <c r="BH68" s="15">
        <f t="shared" si="57"/>
        <v>0.41248124245978063</v>
      </c>
    </row>
    <row r="69" spans="1:60" x14ac:dyDescent="0.25">
      <c r="A69" s="24">
        <v>10</v>
      </c>
      <c r="B69" s="13"/>
      <c r="C69" s="24">
        <v>30.169134955014993</v>
      </c>
      <c r="D69" s="24">
        <f t="shared" si="44"/>
        <v>15.084567477507496</v>
      </c>
      <c r="E69" s="24">
        <f>C69-$C$59</f>
        <v>30.198992669110293</v>
      </c>
      <c r="F69" s="24">
        <f t="shared" si="46"/>
        <v>30.198992669110293</v>
      </c>
      <c r="G69" s="24">
        <v>7527.49</v>
      </c>
      <c r="H69" s="24">
        <f t="shared" si="47"/>
        <v>7.5274899999999993</v>
      </c>
      <c r="I69" s="24">
        <f t="shared" si="48"/>
        <v>178.77788749999999</v>
      </c>
      <c r="J69" s="33">
        <f t="shared" si="49"/>
        <v>0.1689190597976514</v>
      </c>
      <c r="K69" s="33">
        <f t="shared" si="31"/>
        <v>168.91905979765139</v>
      </c>
      <c r="L69" s="33">
        <v>3971544.3699999987</v>
      </c>
      <c r="M69" s="33">
        <f t="shared" si="50"/>
        <v>2295.5526458599993</v>
      </c>
      <c r="N69" s="33">
        <f t="shared" si="51"/>
        <v>6579.1101614356176</v>
      </c>
      <c r="O69" s="33">
        <f t="shared" si="34"/>
        <v>3.6614626345242055E-5</v>
      </c>
      <c r="P69" s="33">
        <f t="shared" si="52"/>
        <v>0.48178332049030054</v>
      </c>
      <c r="Q69" s="15"/>
      <c r="R69" s="33">
        <f t="shared" si="13"/>
        <v>26683.266791044774</v>
      </c>
      <c r="S69" s="33">
        <f t="shared" si="14"/>
        <v>1.818103849733769E-5</v>
      </c>
      <c r="T69" s="33">
        <f t="shared" si="36"/>
        <v>0.97025900152543476</v>
      </c>
      <c r="U69" s="33">
        <f t="shared" si="15"/>
        <v>0.24656314434646534</v>
      </c>
      <c r="V69" s="33">
        <f t="shared" si="16"/>
        <v>24.656314434646536</v>
      </c>
      <c r="W69" s="15"/>
      <c r="X69" s="15"/>
      <c r="Y69" s="24">
        <v>16.3</v>
      </c>
      <c r="Z69" s="24">
        <f t="shared" si="53"/>
        <v>16.283304275144971</v>
      </c>
      <c r="AA69" s="24">
        <f t="shared" si="54"/>
        <v>8.1416521375724855</v>
      </c>
      <c r="AC69" s="13"/>
      <c r="AD69" s="33">
        <f t="shared" si="42"/>
        <v>0.26960012298358399</v>
      </c>
      <c r="AE69" s="13"/>
      <c r="AF69" s="33">
        <f t="shared" si="43"/>
        <v>16.898991291950292</v>
      </c>
      <c r="AG69" s="13"/>
      <c r="AH69" s="15">
        <f t="shared" si="55"/>
        <v>8.1903164483351087</v>
      </c>
      <c r="BG69" s="15">
        <f t="shared" si="56"/>
        <v>8.2022239477878145</v>
      </c>
      <c r="BH69" s="15">
        <f t="shared" si="57"/>
        <v>0.48070864574981359</v>
      </c>
    </row>
    <row r="70" spans="1:60" x14ac:dyDescent="0.25">
      <c r="A70" s="24">
        <v>11</v>
      </c>
      <c r="B70" s="13"/>
      <c r="C70" s="24">
        <v>36.191981672776137</v>
      </c>
      <c r="D70" s="24">
        <f t="shared" si="44"/>
        <v>18.095990836388069</v>
      </c>
      <c r="E70" s="24">
        <f t="shared" si="45"/>
        <v>36.221839386871437</v>
      </c>
      <c r="F70" s="24">
        <f t="shared" si="46"/>
        <v>36.221839386871437</v>
      </c>
      <c r="G70" s="24">
        <v>7601.18</v>
      </c>
      <c r="H70" s="24">
        <f t="shared" si="47"/>
        <v>7.6011800000000003</v>
      </c>
      <c r="I70" s="24">
        <f t="shared" si="48"/>
        <v>180.52802500000001</v>
      </c>
      <c r="J70" s="33">
        <f t="shared" si="49"/>
        <v>0.20064385785459868</v>
      </c>
      <c r="K70" s="33">
        <f t="shared" si="31"/>
        <v>200.64385785459868</v>
      </c>
      <c r="L70" s="33">
        <v>4259040.3599999985</v>
      </c>
      <c r="M70" s="33">
        <f t="shared" si="50"/>
        <v>2461.7253280799991</v>
      </c>
      <c r="N70" s="33">
        <f t="shared" si="51"/>
        <v>7055.3651426133783</v>
      </c>
      <c r="O70" s="33">
        <f t="shared" si="34"/>
        <v>3.8722863031888046E-5</v>
      </c>
      <c r="P70" s="33">
        <f t="shared" si="52"/>
        <v>0.54640787611475028</v>
      </c>
      <c r="Q70" s="15"/>
      <c r="R70" s="33">
        <f t="shared" si="13"/>
        <v>26944.48134328358</v>
      </c>
      <c r="S70" s="33">
        <f t="shared" si="14"/>
        <v>1.9814918639763692E-5</v>
      </c>
      <c r="T70" s="33">
        <f t="shared" si="36"/>
        <v>1.0678054112155897</v>
      </c>
      <c r="U70" s="33">
        <f t="shared" si="15"/>
        <v>0.26184824464517154</v>
      </c>
      <c r="V70" s="33">
        <f t="shared" si="16"/>
        <v>26.184824464517153</v>
      </c>
      <c r="W70" s="15"/>
      <c r="X70" s="15"/>
      <c r="Y70" s="24">
        <v>18.62</v>
      </c>
      <c r="Z70" s="24">
        <f t="shared" si="53"/>
        <v>18.603304275144971</v>
      </c>
      <c r="AA70" s="24">
        <f t="shared" si="54"/>
        <v>9.3016521375724857</v>
      </c>
      <c r="AC70" s="13"/>
      <c r="AD70" s="33">
        <f t="shared" si="42"/>
        <v>0.25679679152196394</v>
      </c>
      <c r="AE70" s="13"/>
      <c r="AF70" s="33">
        <f t="shared" si="43"/>
        <v>17.02327609863929</v>
      </c>
      <c r="AG70" s="13"/>
      <c r="AH70" s="15">
        <f t="shared" si="55"/>
        <v>9.2889338939507553</v>
      </c>
      <c r="BG70" s="15">
        <f t="shared" si="56"/>
        <v>9.3230037532246754</v>
      </c>
      <c r="BH70" s="15">
        <f t="shared" si="57"/>
        <v>0.54476717285089904</v>
      </c>
    </row>
    <row r="71" spans="1:60" x14ac:dyDescent="0.25">
      <c r="A71" s="24">
        <v>12</v>
      </c>
      <c r="B71" s="13"/>
      <c r="C71" s="24">
        <v>42.333602799067378</v>
      </c>
      <c r="D71" s="24">
        <f t="shared" si="44"/>
        <v>21.166801399533689</v>
      </c>
      <c r="E71" s="24">
        <f t="shared" si="45"/>
        <v>42.363460513162678</v>
      </c>
      <c r="F71" s="24">
        <f t="shared" si="46"/>
        <v>42.363460513162678</v>
      </c>
      <c r="G71" s="24">
        <v>7674.29</v>
      </c>
      <c r="H71" s="24">
        <f t="shared" si="47"/>
        <v>7.6742900000000001</v>
      </c>
      <c r="I71" s="24">
        <f t="shared" si="48"/>
        <v>182.2643875</v>
      </c>
      <c r="J71" s="33">
        <f t="shared" si="49"/>
        <v>0.2324286224765805</v>
      </c>
      <c r="K71" s="33">
        <f t="shared" si="31"/>
        <v>232.4286224765805</v>
      </c>
      <c r="L71" s="33">
        <v>4459451.7599999979</v>
      </c>
      <c r="M71" s="33">
        <f t="shared" si="50"/>
        <v>2577.5631172799986</v>
      </c>
      <c r="N71" s="33">
        <f t="shared" si="51"/>
        <v>7387.3590863717181</v>
      </c>
      <c r="O71" s="33">
        <f t="shared" si="34"/>
        <v>4.0925412623168223E-5</v>
      </c>
      <c r="P71" s="33">
        <f t="shared" si="52"/>
        <v>0.60466143761054714</v>
      </c>
      <c r="Q71" s="15"/>
      <c r="R71" s="33">
        <f t="shared" si="13"/>
        <v>27203.639925373136</v>
      </c>
      <c r="S71" s="33">
        <f t="shared" si="14"/>
        <v>2.1326724700503209E-5</v>
      </c>
      <c r="T71" s="33">
        <f t="shared" si="36"/>
        <v>1.1603290790801011</v>
      </c>
      <c r="U71" s="33">
        <f t="shared" si="15"/>
        <v>0.27155774398709953</v>
      </c>
      <c r="V71" s="33">
        <f t="shared" si="16"/>
        <v>27.155774398709951</v>
      </c>
      <c r="W71" s="15"/>
      <c r="X71" s="15"/>
      <c r="Y71" s="24">
        <v>21.01</v>
      </c>
      <c r="Z71" s="24">
        <f t="shared" si="53"/>
        <v>20.993304275144972</v>
      </c>
      <c r="AA71" s="24">
        <f t="shared" si="54"/>
        <v>10.496652137572486</v>
      </c>
      <c r="AC71" s="13"/>
      <c r="AD71" s="33">
        <f t="shared" si="42"/>
        <v>0.24777607897048659</v>
      </c>
      <c r="AE71" s="13"/>
      <c r="AF71" s="33">
        <f t="shared" si="43"/>
        <v>17.359552775603351</v>
      </c>
      <c r="AG71" s="13"/>
      <c r="AH71" s="15">
        <f t="shared" si="55"/>
        <v>10.279244439379301</v>
      </c>
      <c r="BG71" s="15">
        <f t="shared" si="56"/>
        <v>10.410294098811271</v>
      </c>
      <c r="BH71" s="15">
        <f t="shared" si="57"/>
        <v>0.60673985868689029</v>
      </c>
    </row>
    <row r="72" spans="1:60" x14ac:dyDescent="0.25">
      <c r="A72" s="25">
        <v>13</v>
      </c>
      <c r="B72" s="2"/>
      <c r="C72" s="25">
        <v>48.328530489836957</v>
      </c>
      <c r="D72" s="24">
        <f t="shared" si="44"/>
        <v>24.164265244918479</v>
      </c>
      <c r="E72" s="25">
        <f t="shared" si="45"/>
        <v>48.358388203932257</v>
      </c>
      <c r="F72" s="25">
        <f t="shared" si="46"/>
        <v>48.358388203932257</v>
      </c>
      <c r="G72" s="25">
        <v>7718.81</v>
      </c>
      <c r="H72" s="25">
        <f t="shared" si="47"/>
        <v>7.7188100000000004</v>
      </c>
      <c r="I72" s="25">
        <f t="shared" si="48"/>
        <v>183.32173750000001</v>
      </c>
      <c r="J72" s="25">
        <f t="shared" si="49"/>
        <v>0.26378971126614081</v>
      </c>
      <c r="K72" s="25">
        <f t="shared" si="31"/>
        <v>263.78971126614084</v>
      </c>
      <c r="L72" s="25">
        <v>4644181.0099999979</v>
      </c>
      <c r="M72" s="25">
        <f t="shared" si="50"/>
        <v>2684.3366237799987</v>
      </c>
      <c r="N72" s="25">
        <f t="shared" si="51"/>
        <v>7693.3745736894089</v>
      </c>
      <c r="O72" s="25">
        <f t="shared" si="34"/>
        <v>4.2846902086191962E-5</v>
      </c>
      <c r="P72" s="25">
        <f t="shared" si="52"/>
        <v>0.65927453414253789</v>
      </c>
      <c r="Q72" s="15"/>
      <c r="R72" s="25">
        <f t="shared" si="13"/>
        <v>27361.453358208957</v>
      </c>
      <c r="S72" s="25">
        <f t="shared" si="14"/>
        <v>2.2719997796983937E-5</v>
      </c>
      <c r="T72" s="25">
        <f t="shared" si="36"/>
        <v>1.2433043200415725</v>
      </c>
      <c r="U72" s="25">
        <f t="shared" si="15"/>
        <v>0.28117565514410986</v>
      </c>
      <c r="V72" s="33">
        <f t="shared" si="16"/>
        <v>28.117565514410988</v>
      </c>
      <c r="W72" s="15"/>
      <c r="X72" s="15"/>
      <c r="Y72" s="25">
        <v>23.16</v>
      </c>
      <c r="Z72" s="25">
        <f t="shared" si="53"/>
        <v>23.14330427514497</v>
      </c>
      <c r="AA72" s="25">
        <f t="shared" si="54"/>
        <v>11.571652137572485</v>
      </c>
      <c r="AB72" s="15"/>
      <c r="AC72" s="13"/>
      <c r="AD72" s="25">
        <f t="shared" si="42"/>
        <v>0.2392894504418478</v>
      </c>
      <c r="AE72" s="2"/>
      <c r="AF72" s="25">
        <f t="shared" si="43"/>
        <v>17.552099373325174</v>
      </c>
      <c r="AG72" s="2"/>
      <c r="AH72" s="2">
        <f t="shared" si="55"/>
        <v>11.207667080423144</v>
      </c>
      <c r="AO72" s="2"/>
      <c r="AP72" s="2"/>
      <c r="AQ72" s="2"/>
      <c r="AR72" s="2"/>
      <c r="AS72" s="2"/>
      <c r="AW72" s="2"/>
      <c r="AX72" s="2"/>
      <c r="AY72" s="2"/>
      <c r="AZ72" s="2"/>
      <c r="BA72" s="2"/>
      <c r="BG72" s="2">
        <f t="shared" si="56"/>
        <v>11.42737387049525</v>
      </c>
      <c r="BH72" s="2">
        <f t="shared" si="57"/>
        <v>0.66457390647396442</v>
      </c>
    </row>
    <row r="73" spans="1:60" x14ac:dyDescent="0.25">
      <c r="A73" s="1"/>
      <c r="B73" s="1"/>
      <c r="C73" s="1"/>
      <c r="D73" s="10"/>
      <c r="E73" s="1"/>
      <c r="F73" s="1"/>
      <c r="G73" s="10"/>
      <c r="H73" s="1"/>
      <c r="I73" s="1"/>
      <c r="J73" s="15"/>
      <c r="K73" s="15"/>
      <c r="L73" s="1"/>
      <c r="M73" s="15"/>
      <c r="N73" s="15"/>
      <c r="O73" s="33"/>
      <c r="P73" s="15"/>
      <c r="Q73" s="15"/>
      <c r="R73" s="33"/>
      <c r="S73" s="33"/>
      <c r="T73" s="33"/>
      <c r="U73" s="33"/>
      <c r="V73" s="33"/>
      <c r="W73" s="15"/>
      <c r="X73" s="15"/>
      <c r="AD73" s="15"/>
      <c r="AF73" s="15"/>
      <c r="AH73" s="15"/>
    </row>
    <row r="74" spans="1:60" x14ac:dyDescent="0.25">
      <c r="J74" s="15"/>
      <c r="K74" s="15"/>
      <c r="M74" s="15"/>
      <c r="N74" s="15"/>
      <c r="O74" s="33"/>
      <c r="P74" s="15"/>
      <c r="Q74" s="15"/>
      <c r="R74" s="33"/>
      <c r="S74" s="33"/>
      <c r="T74" s="33"/>
      <c r="U74" s="33"/>
      <c r="V74" s="33"/>
      <c r="W74" s="15"/>
      <c r="X74" s="15"/>
      <c r="Y74" s="10" t="s">
        <v>28</v>
      </c>
      <c r="Z74" s="10" t="s">
        <v>28</v>
      </c>
      <c r="AA74" s="10" t="s">
        <v>28</v>
      </c>
      <c r="AD74" s="15"/>
      <c r="AF74" s="15"/>
      <c r="AH74" s="15"/>
    </row>
    <row r="75" spans="1:60" x14ac:dyDescent="0.25">
      <c r="A75" s="18" t="s">
        <v>25</v>
      </c>
      <c r="B75" s="18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5"/>
      <c r="P75" s="2"/>
      <c r="Q75" s="15"/>
      <c r="R75" s="25"/>
      <c r="S75" s="33"/>
      <c r="T75" s="33"/>
      <c r="U75" s="33"/>
      <c r="V75" s="33"/>
      <c r="W75" s="15"/>
      <c r="X75" s="15"/>
      <c r="Y75" s="18" t="s">
        <v>27</v>
      </c>
      <c r="Z75" s="18" t="s">
        <v>29</v>
      </c>
      <c r="AA75" s="18" t="s">
        <v>30</v>
      </c>
      <c r="AB75" s="26"/>
      <c r="AC75" s="13"/>
      <c r="AD75" s="18" t="s">
        <v>14</v>
      </c>
      <c r="AE75" s="2"/>
      <c r="AF75" s="20" t="s">
        <v>17</v>
      </c>
      <c r="AG75" s="2"/>
      <c r="AH75" s="18" t="s">
        <v>16</v>
      </c>
      <c r="AO75" s="18" t="s">
        <v>60</v>
      </c>
      <c r="AP75" s="18"/>
      <c r="AQ75" s="2"/>
      <c r="AR75" s="2"/>
      <c r="AS75" s="2"/>
      <c r="AT75" s="13"/>
      <c r="AU75" s="13"/>
      <c r="AV75" s="13"/>
      <c r="AW75" s="18" t="s">
        <v>61</v>
      </c>
      <c r="AX75" s="18"/>
      <c r="AY75" s="2"/>
      <c r="AZ75" s="2"/>
      <c r="BA75" s="2"/>
      <c r="BD75" s="2"/>
      <c r="BG75" s="2"/>
      <c r="BH75" s="2"/>
    </row>
    <row r="76" spans="1:60" ht="18.75" x14ac:dyDescent="0.35">
      <c r="A76" s="18" t="s">
        <v>0</v>
      </c>
      <c r="B76" s="18"/>
      <c r="C76" s="18" t="s">
        <v>12</v>
      </c>
      <c r="D76" s="18"/>
      <c r="E76" s="18" t="s">
        <v>13</v>
      </c>
      <c r="F76" s="18" t="s">
        <v>1</v>
      </c>
      <c r="G76" s="18" t="s">
        <v>19</v>
      </c>
      <c r="H76" s="18" t="s">
        <v>2</v>
      </c>
      <c r="I76" s="18" t="s">
        <v>3</v>
      </c>
      <c r="J76" s="20" t="s">
        <v>4</v>
      </c>
      <c r="K76" s="20" t="s">
        <v>15</v>
      </c>
      <c r="L76" s="18" t="s">
        <v>33</v>
      </c>
      <c r="M76" s="18" t="s">
        <v>34</v>
      </c>
      <c r="N76" s="18" t="s">
        <v>35</v>
      </c>
      <c r="O76" s="18" t="s">
        <v>9</v>
      </c>
      <c r="P76" s="18" t="s">
        <v>40</v>
      </c>
      <c r="Q76" s="26"/>
      <c r="R76" s="18" t="s">
        <v>43</v>
      </c>
      <c r="S76" s="20" t="s">
        <v>41</v>
      </c>
      <c r="T76" s="21" t="s">
        <v>42</v>
      </c>
      <c r="U76" s="21" t="s">
        <v>44</v>
      </c>
      <c r="V76" s="33"/>
      <c r="W76" s="33"/>
      <c r="X76" s="35" t="s">
        <v>32</v>
      </c>
      <c r="Y76" s="34">
        <v>8.2643469306140725E-3</v>
      </c>
      <c r="Z76" s="19"/>
      <c r="AA76" s="19"/>
      <c r="AB76" s="15"/>
      <c r="AC76" s="13"/>
      <c r="AD76" s="19"/>
      <c r="AE76" s="19"/>
      <c r="AF76" s="19"/>
      <c r="AG76" s="19"/>
      <c r="AH76" s="19"/>
      <c r="AI76" s="13"/>
      <c r="AJ76" s="13"/>
      <c r="AK76" s="13"/>
      <c r="AL76" s="13"/>
      <c r="AM76" s="13"/>
      <c r="AN76" s="13"/>
      <c r="AO76" s="19"/>
      <c r="AP76" s="20" t="s">
        <v>48</v>
      </c>
      <c r="AQ76" s="20"/>
      <c r="AR76" s="20" t="s">
        <v>47</v>
      </c>
      <c r="AS76" s="20"/>
      <c r="AW76" s="2"/>
      <c r="AX76" s="18" t="s">
        <v>48</v>
      </c>
      <c r="AY76" s="18"/>
      <c r="AZ76" s="18" t="s">
        <v>47</v>
      </c>
      <c r="BA76" s="18"/>
      <c r="BD76" s="2" t="s">
        <v>59</v>
      </c>
      <c r="BG76" s="2" t="s">
        <v>62</v>
      </c>
      <c r="BH76" s="2" t="s">
        <v>63</v>
      </c>
    </row>
    <row r="77" spans="1:60" ht="18" x14ac:dyDescent="0.35">
      <c r="A77" s="24">
        <v>0</v>
      </c>
      <c r="B77" s="13"/>
      <c r="C77" s="24">
        <v>-1.8526824391869465E-2</v>
      </c>
      <c r="D77" s="24">
        <f>C77/2</f>
        <v>-9.2634121959347324E-3</v>
      </c>
      <c r="E77" s="24">
        <f>C77-$C$77</f>
        <v>0</v>
      </c>
      <c r="F77" s="32">
        <f>E77+($F$2*9.81)</f>
        <v>7.7499000000000012E-2</v>
      </c>
      <c r="G77" s="24">
        <v>6922.89</v>
      </c>
      <c r="H77" s="24">
        <f>G77/1000</f>
        <v>6.9228900000000007</v>
      </c>
      <c r="I77" s="24">
        <f>H77*$F$5</f>
        <v>164.41863750000002</v>
      </c>
      <c r="J77" s="32">
        <f>F77/I77</f>
        <v>4.7135167386361541E-4</v>
      </c>
      <c r="K77" s="33">
        <f t="shared" si="31"/>
        <v>0.47135167386361543</v>
      </c>
      <c r="L77" s="24">
        <v>192140.9</v>
      </c>
      <c r="M77" s="32">
        <f>((L77*$F$6)/1000)</f>
        <v>111.05744019999999</v>
      </c>
      <c r="N77" s="32">
        <f>M77*($F$5/$F$14)</f>
        <v>318.29334632798901</v>
      </c>
      <c r="O77" s="33">
        <f t="shared" si="34"/>
        <v>8.4328859462879368E-6</v>
      </c>
      <c r="P77" s="32">
        <f>2*O77*N77</f>
        <v>5.3682629740925154E-3</v>
      </c>
      <c r="Q77" s="15"/>
      <c r="R77" s="33">
        <f t="shared" si="13"/>
        <v>24540.095149253735</v>
      </c>
      <c r="S77" s="33">
        <f t="shared" si="14"/>
        <v>9.6039941205049643E-7</v>
      </c>
      <c r="T77" s="33">
        <f t="shared" si="36"/>
        <v>4.7136585906013051E-2</v>
      </c>
      <c r="U77" s="33">
        <f t="shared" si="15"/>
        <v>1.2970338720861412E-2</v>
      </c>
      <c r="V77" s="33">
        <f t="shared" si="16"/>
        <v>1.2970338720861412</v>
      </c>
      <c r="W77" s="15"/>
      <c r="X77" s="15"/>
      <c r="Y77" s="24">
        <v>0.46</v>
      </c>
      <c r="Z77" s="24">
        <f>Y77-$Y$76</f>
        <v>0.45173565306938596</v>
      </c>
      <c r="AA77" s="24">
        <f>Z77/2</f>
        <v>0.22586782653469298</v>
      </c>
      <c r="AB77" s="27"/>
      <c r="AC77" s="13"/>
      <c r="AD77" s="32">
        <f t="shared" ref="AD77:AD90" si="58">AA77/F77</f>
        <v>2.9144611741402202</v>
      </c>
      <c r="AE77" s="13"/>
      <c r="AF77" s="32">
        <f t="shared" ref="AF77:AF90" si="59">AA77/P77</f>
        <v>42.074657598694685</v>
      </c>
      <c r="AG77" s="13"/>
      <c r="AH77" s="15">
        <f>P77*15.5</f>
        <v>8.3208076098433989E-2</v>
      </c>
      <c r="AO77" s="10" t="s">
        <v>55</v>
      </c>
      <c r="AP77">
        <v>0.68930000000000002</v>
      </c>
      <c r="AR77">
        <v>0.62109999999999999</v>
      </c>
      <c r="AS77">
        <v>0.75760000000000005</v>
      </c>
      <c r="AW77" s="46" t="s">
        <v>57</v>
      </c>
      <c r="AX77" s="13">
        <v>4.6649999999999997E-2</v>
      </c>
      <c r="AY77" s="13"/>
      <c r="AZ77" s="13">
        <v>4.4170000000000001E-2</v>
      </c>
      <c r="BA77" s="13">
        <v>4.913E-2</v>
      </c>
      <c r="BD77">
        <f>AP77/AX77</f>
        <v>14.775991425509112</v>
      </c>
      <c r="BG77" s="38">
        <f>$AP$77*(F77^$AP$78)</f>
        <v>0.10912492966773001</v>
      </c>
      <c r="BH77" s="38">
        <f>$AX$77*(F77^$AX$78)</f>
        <v>7.654506585194348E-3</v>
      </c>
    </row>
    <row r="78" spans="1:60" ht="18" x14ac:dyDescent="0.35">
      <c r="A78" s="24">
        <v>1</v>
      </c>
      <c r="B78" s="13"/>
      <c r="C78" s="24">
        <v>0.73543385538154382</v>
      </c>
      <c r="D78" s="24">
        <f t="shared" ref="D78:D90" si="60">C78/2</f>
        <v>0.36771692769077191</v>
      </c>
      <c r="E78" s="24">
        <f t="shared" ref="E78:E89" si="61">C78-$C$77</f>
        <v>0.7539606797734133</v>
      </c>
      <c r="F78" s="33">
        <f t="shared" ref="F78:F90" si="62">E78+($F$2*9.81)</f>
        <v>0.83145967977341328</v>
      </c>
      <c r="G78" s="24">
        <v>6960.66</v>
      </c>
      <c r="H78" s="24">
        <f t="shared" ref="H78:H90" si="63">G78/1000</f>
        <v>6.9606599999999998</v>
      </c>
      <c r="I78" s="24">
        <f t="shared" ref="I78:I90" si="64">H78*$F$5</f>
        <v>165.315675</v>
      </c>
      <c r="J78" s="33">
        <f t="shared" ref="J78:J87" si="65">F78/I78</f>
        <v>5.0295271744401331E-3</v>
      </c>
      <c r="K78" s="33">
        <f t="shared" si="31"/>
        <v>5.0295271744401333</v>
      </c>
      <c r="L78" s="24">
        <v>588546.80000000005</v>
      </c>
      <c r="M78" s="33">
        <f t="shared" ref="M78:M90" si="66">((L78*$F$6)/1000)</f>
        <v>340.18005040000003</v>
      </c>
      <c r="N78" s="33">
        <f t="shared" ref="N78:N90" si="67">M78*($F$5/$F$14)</f>
        <v>974.96436439420097</v>
      </c>
      <c r="O78" s="33">
        <f t="shared" si="34"/>
        <v>1.5782223270967109E-5</v>
      </c>
      <c r="P78" s="33">
        <f t="shared" ref="P78:P90" si="68">2*O78*N78</f>
        <v>3.077421056021163E-2</v>
      </c>
      <c r="Q78" s="15"/>
      <c r="R78" s="33">
        <f t="shared" si="13"/>
        <v>24673.98134328358</v>
      </c>
      <c r="S78" s="33">
        <f t="shared" si="14"/>
        <v>3.137205286429132E-6</v>
      </c>
      <c r="T78" s="33">
        <f t="shared" si="36"/>
        <v>0.15481468941480606</v>
      </c>
      <c r="U78" s="33">
        <f t="shared" si="15"/>
        <v>3.9513864861521128E-2</v>
      </c>
      <c r="V78" s="33">
        <f t="shared" si="16"/>
        <v>3.9513864861521126</v>
      </c>
      <c r="W78" s="15"/>
      <c r="X78" s="15"/>
      <c r="Y78" s="24">
        <v>1.29</v>
      </c>
      <c r="Z78" s="24">
        <f t="shared" ref="Z78:Z90" si="69">Y78-$W$76</f>
        <v>1.29</v>
      </c>
      <c r="AA78" s="24">
        <f t="shared" ref="AA78:AA90" si="70">Z78/2</f>
        <v>0.64500000000000002</v>
      </c>
      <c r="AC78" s="13"/>
      <c r="AD78" s="33">
        <f t="shared" si="58"/>
        <v>0.77574417099308213</v>
      </c>
      <c r="AE78" s="13"/>
      <c r="AF78" s="33">
        <f t="shared" si="59"/>
        <v>20.95910791076242</v>
      </c>
      <c r="AG78" s="13"/>
      <c r="AH78" s="15">
        <f t="shared" ref="AH78:AH90" si="71">P78*15.5</f>
        <v>0.47700026368328025</v>
      </c>
      <c r="AO78" s="10" t="s">
        <v>56</v>
      </c>
      <c r="AP78">
        <v>0.72070000000000001</v>
      </c>
      <c r="AR78">
        <v>0.69259999999999999</v>
      </c>
      <c r="AS78">
        <v>0.74890000000000001</v>
      </c>
      <c r="AW78" s="46" t="s">
        <v>58</v>
      </c>
      <c r="AX78" s="13">
        <v>0.70669999999999999</v>
      </c>
      <c r="AY78" s="13"/>
      <c r="AZ78" s="13">
        <v>0.6915</v>
      </c>
      <c r="BA78" s="13">
        <v>0.72189999999999999</v>
      </c>
      <c r="BG78" s="15">
        <f t="shared" ref="BG78:BG90" si="72">$AP$77*(F78^$AP$78)</f>
        <v>0.60344518564297489</v>
      </c>
      <c r="BH78" s="15">
        <f>$AX$77*(F78^$AX$78)</f>
        <v>4.0945239867641127E-2</v>
      </c>
    </row>
    <row r="79" spans="1:60" x14ac:dyDescent="0.25">
      <c r="A79" s="24">
        <v>2</v>
      </c>
      <c r="B79" s="13"/>
      <c r="C79" s="24">
        <v>1.6366774408530604</v>
      </c>
      <c r="D79" s="24">
        <f t="shared" si="60"/>
        <v>0.81833872042653022</v>
      </c>
      <c r="E79" s="24">
        <f t="shared" si="61"/>
        <v>1.6552042652449299</v>
      </c>
      <c r="F79" s="33">
        <f t="shared" si="62"/>
        <v>1.7327032652449299</v>
      </c>
      <c r="G79" s="24">
        <v>7007.67</v>
      </c>
      <c r="H79" s="24">
        <f t="shared" si="63"/>
        <v>7.0076700000000001</v>
      </c>
      <c r="I79" s="24">
        <f t="shared" si="64"/>
        <v>166.4321625</v>
      </c>
      <c r="J79" s="33">
        <f t="shared" si="65"/>
        <v>1.041086794293699E-2</v>
      </c>
      <c r="K79" s="33">
        <f t="shared" si="31"/>
        <v>10.41086794293699</v>
      </c>
      <c r="L79" s="24">
        <v>1042210.7100000001</v>
      </c>
      <c r="M79" s="33">
        <f t="shared" si="66"/>
        <v>602.39779038000006</v>
      </c>
      <c r="N79" s="33">
        <f t="shared" si="67"/>
        <v>1726.4868357792091</v>
      </c>
      <c r="O79" s="33">
        <f t="shared" si="34"/>
        <v>1.7120735528983991E-5</v>
      </c>
      <c r="P79" s="33">
        <f t="shared" si="68"/>
        <v>5.9117449019296504E-2</v>
      </c>
      <c r="Q79" s="15"/>
      <c r="R79" s="33">
        <f t="shared" si="13"/>
        <v>24840.621268656716</v>
      </c>
      <c r="S79" s="33">
        <f t="shared" si="14"/>
        <v>4.5135974922042782E-6</v>
      </c>
      <c r="T79" s="33">
        <f t="shared" si="36"/>
        <v>0.22424113172601043</v>
      </c>
      <c r="U79" s="33">
        <f t="shared" si="15"/>
        <v>6.9502562641524893E-2</v>
      </c>
      <c r="V79" s="33">
        <f t="shared" si="16"/>
        <v>6.9502562641524896</v>
      </c>
      <c r="W79" s="15"/>
      <c r="X79" s="15"/>
      <c r="Y79" s="24">
        <v>2.2000000000000002</v>
      </c>
      <c r="Z79" s="24">
        <f t="shared" si="69"/>
        <v>2.2000000000000002</v>
      </c>
      <c r="AA79" s="24">
        <f t="shared" si="70"/>
        <v>1.1000000000000001</v>
      </c>
      <c r="AC79" s="13"/>
      <c r="AD79" s="33">
        <f t="shared" si="58"/>
        <v>0.63484615171225367</v>
      </c>
      <c r="AE79" s="13"/>
      <c r="AF79" s="33">
        <f t="shared" si="59"/>
        <v>18.607027506226622</v>
      </c>
      <c r="AG79" s="13"/>
      <c r="AH79" s="15">
        <f t="shared" si="71"/>
        <v>0.91632045979909582</v>
      </c>
      <c r="BG79" s="15">
        <f t="shared" si="72"/>
        <v>1.0243698911928629</v>
      </c>
      <c r="BH79" s="15">
        <f t="shared" ref="BH79:BH90" si="73">$AX$77*(F79^$AX$78)</f>
        <v>6.879518388820105E-2</v>
      </c>
    </row>
    <row r="80" spans="1:60" x14ac:dyDescent="0.25">
      <c r="A80" s="24">
        <v>3</v>
      </c>
      <c r="B80" s="13"/>
      <c r="C80" s="24">
        <v>3.1734728423858694</v>
      </c>
      <c r="D80" s="24">
        <f t="shared" si="60"/>
        <v>1.5867364211929347</v>
      </c>
      <c r="E80" s="24">
        <f t="shared" si="61"/>
        <v>3.1919996667777388</v>
      </c>
      <c r="F80" s="33">
        <f t="shared" si="62"/>
        <v>3.2694986667777388</v>
      </c>
      <c r="G80" s="24">
        <v>7045.44</v>
      </c>
      <c r="H80" s="24">
        <f t="shared" si="63"/>
        <v>7.0454399999999993</v>
      </c>
      <c r="I80" s="24">
        <f t="shared" si="64"/>
        <v>167.32919999999999</v>
      </c>
      <c r="J80" s="33">
        <f t="shared" si="65"/>
        <v>1.9539319298590676E-2</v>
      </c>
      <c r="K80" s="33">
        <f t="shared" si="31"/>
        <v>19.539319298590677</v>
      </c>
      <c r="L80" s="24">
        <v>1640576.5799999994</v>
      </c>
      <c r="M80" s="33">
        <f t="shared" si="66"/>
        <v>948.25326323999957</v>
      </c>
      <c r="N80" s="33">
        <f t="shared" si="67"/>
        <v>2717.7171000839885</v>
      </c>
      <c r="O80" s="33">
        <f t="shared" si="34"/>
        <v>1.8744782955478872E-5</v>
      </c>
      <c r="P80" s="33">
        <f t="shared" si="68"/>
        <v>0.10188603435093563</v>
      </c>
      <c r="Q80" s="15"/>
      <c r="R80" s="33">
        <f t="shared" si="13"/>
        <v>24974.507462686564</v>
      </c>
      <c r="S80" s="33">
        <f t="shared" si="14"/>
        <v>6.1834958495803241E-6</v>
      </c>
      <c r="T80" s="33">
        <f t="shared" si="36"/>
        <v>0.30885952648167042</v>
      </c>
      <c r="U80" s="33">
        <f t="shared" si="15"/>
        <v>0.10881964756039426</v>
      </c>
      <c r="V80" s="33">
        <f t="shared" si="16"/>
        <v>10.881964756039427</v>
      </c>
      <c r="W80" s="15"/>
      <c r="X80" s="15"/>
      <c r="Y80" s="24">
        <v>3.46</v>
      </c>
      <c r="Z80" s="24">
        <f t="shared" si="69"/>
        <v>3.46</v>
      </c>
      <c r="AA80" s="24">
        <f t="shared" si="70"/>
        <v>1.73</v>
      </c>
      <c r="AC80" s="13"/>
      <c r="AD80" s="33">
        <f t="shared" si="58"/>
        <v>0.52913311070562541</v>
      </c>
      <c r="AE80" s="13"/>
      <c r="AF80" s="33">
        <f t="shared" si="59"/>
        <v>16.979755969706297</v>
      </c>
      <c r="AG80" s="13"/>
      <c r="AH80" s="15">
        <f t="shared" si="71"/>
        <v>1.5792335324395022</v>
      </c>
      <c r="BG80" s="15">
        <f t="shared" si="72"/>
        <v>1.6188061804726857</v>
      </c>
      <c r="BH80" s="15">
        <f t="shared" si="73"/>
        <v>0.10775451763236539</v>
      </c>
    </row>
    <row r="81" spans="1:60" x14ac:dyDescent="0.25">
      <c r="A81" s="24">
        <v>4</v>
      </c>
      <c r="B81" s="13"/>
      <c r="C81" s="24">
        <v>4.8573982005998211</v>
      </c>
      <c r="D81" s="24">
        <f t="shared" si="60"/>
        <v>2.4286991002999105</v>
      </c>
      <c r="E81" s="24">
        <f t="shared" si="61"/>
        <v>4.8759250249916901</v>
      </c>
      <c r="F81" s="33">
        <f t="shared" si="62"/>
        <v>4.9534240249916905</v>
      </c>
      <c r="G81" s="24">
        <v>7104.01</v>
      </c>
      <c r="H81" s="24">
        <f t="shared" si="63"/>
        <v>7.1040100000000006</v>
      </c>
      <c r="I81" s="24">
        <f t="shared" si="64"/>
        <v>168.72023750000002</v>
      </c>
      <c r="J81" s="33">
        <f t="shared" si="65"/>
        <v>2.9358801874562853E-2</v>
      </c>
      <c r="K81" s="33">
        <f t="shared" si="31"/>
        <v>29.358801874562854</v>
      </c>
      <c r="L81" s="24">
        <v>2156041.3399999989</v>
      </c>
      <c r="M81" s="33">
        <f t="shared" si="66"/>
        <v>1246.1918945199993</v>
      </c>
      <c r="N81" s="33">
        <f t="shared" si="67"/>
        <v>3571.6165216780046</v>
      </c>
      <c r="O81" s="33">
        <f t="shared" si="34"/>
        <v>2.0126223852841269E-5</v>
      </c>
      <c r="P81" s="33">
        <f t="shared" si="68"/>
        <v>0.14376630726359566</v>
      </c>
      <c r="Q81" s="15"/>
      <c r="R81" s="33">
        <f t="shared" si="13"/>
        <v>25182.125</v>
      </c>
      <c r="S81" s="33">
        <f t="shared" si="14"/>
        <v>7.5796390179083867E-6</v>
      </c>
      <c r="T81" s="33">
        <f t="shared" si="36"/>
        <v>0.38174283440769247</v>
      </c>
      <c r="U81" s="33">
        <f t="shared" si="15"/>
        <v>0.14183141897985196</v>
      </c>
      <c r="V81" s="33">
        <f t="shared" si="16"/>
        <v>14.183141897985196</v>
      </c>
      <c r="W81" s="15"/>
      <c r="X81" s="15"/>
      <c r="Y81" s="24">
        <v>4.66</v>
      </c>
      <c r="Z81" s="24">
        <f t="shared" si="69"/>
        <v>4.66</v>
      </c>
      <c r="AA81" s="24">
        <f t="shared" si="70"/>
        <v>2.33</v>
      </c>
      <c r="AC81" s="13"/>
      <c r="AD81" s="33">
        <f t="shared" si="58"/>
        <v>0.47038169723495632</v>
      </c>
      <c r="AE81" s="13"/>
      <c r="AF81" s="33">
        <f t="shared" si="59"/>
        <v>16.206857116583951</v>
      </c>
      <c r="AG81" s="13"/>
      <c r="AH81" s="15">
        <f t="shared" si="71"/>
        <v>2.2283777625857328</v>
      </c>
      <c r="BG81" s="15">
        <f t="shared" si="72"/>
        <v>2.1838694691302365</v>
      </c>
      <c r="BH81" s="15">
        <f t="shared" si="73"/>
        <v>0.14452446465072474</v>
      </c>
    </row>
    <row r="82" spans="1:60" x14ac:dyDescent="0.25">
      <c r="A82" s="24">
        <v>5</v>
      </c>
      <c r="B82" s="13"/>
      <c r="C82" s="24">
        <v>6.4167050983005645</v>
      </c>
      <c r="D82" s="24">
        <f t="shared" si="60"/>
        <v>3.2083525491502822</v>
      </c>
      <c r="E82" s="24">
        <f t="shared" si="61"/>
        <v>6.4352319226924335</v>
      </c>
      <c r="F82" s="33">
        <f t="shared" si="62"/>
        <v>6.5127309226924339</v>
      </c>
      <c r="G82" s="24">
        <v>7164.12</v>
      </c>
      <c r="H82" s="24">
        <f t="shared" si="63"/>
        <v>7.1641199999999996</v>
      </c>
      <c r="I82" s="24">
        <f t="shared" si="64"/>
        <v>170.14784999999998</v>
      </c>
      <c r="J82" s="33">
        <f t="shared" si="65"/>
        <v>3.8276892259834223E-2</v>
      </c>
      <c r="K82" s="33">
        <f t="shared" si="31"/>
        <v>38.27689225983422</v>
      </c>
      <c r="L82" s="24">
        <v>2529867.8299999991</v>
      </c>
      <c r="M82" s="33">
        <f t="shared" si="66"/>
        <v>1462.2636057399993</v>
      </c>
      <c r="N82" s="33">
        <f t="shared" si="67"/>
        <v>4190.8833433081027</v>
      </c>
      <c r="O82" s="33">
        <f t="shared" si="34"/>
        <v>2.1304470218183331E-5</v>
      </c>
      <c r="P82" s="33">
        <f t="shared" si="68"/>
        <v>0.17856909875077612</v>
      </c>
      <c r="Q82" s="15"/>
      <c r="R82" s="33">
        <f t="shared" si="13"/>
        <v>25395.201492537311</v>
      </c>
      <c r="S82" s="33">
        <f t="shared" si="14"/>
        <v>8.6546138133308199E-6</v>
      </c>
      <c r="T82" s="33">
        <f t="shared" si="36"/>
        <v>0.43957132325926573</v>
      </c>
      <c r="U82" s="33">
        <f t="shared" si="15"/>
        <v>0.16502658364571923</v>
      </c>
      <c r="V82" s="33">
        <f t="shared" si="16"/>
        <v>16.502658364571925</v>
      </c>
      <c r="W82" s="15"/>
      <c r="X82" s="15"/>
      <c r="Y82" s="24">
        <v>5.62</v>
      </c>
      <c r="Z82" s="24">
        <f t="shared" si="69"/>
        <v>5.62</v>
      </c>
      <c r="AA82" s="24">
        <f t="shared" si="70"/>
        <v>2.81</v>
      </c>
      <c r="AC82" s="13"/>
      <c r="AD82" s="33">
        <f t="shared" si="58"/>
        <v>0.43146262809800157</v>
      </c>
      <c r="AE82" s="13"/>
      <c r="AF82" s="33">
        <f t="shared" si="59"/>
        <v>15.736205310202289</v>
      </c>
      <c r="AG82" s="13"/>
      <c r="AH82" s="15">
        <f t="shared" si="71"/>
        <v>2.7678210306370299</v>
      </c>
      <c r="BG82" s="15">
        <f t="shared" si="72"/>
        <v>2.6600351175482104</v>
      </c>
      <c r="BH82" s="15">
        <f t="shared" si="73"/>
        <v>0.17536303608812595</v>
      </c>
    </row>
    <row r="83" spans="1:60" x14ac:dyDescent="0.25">
      <c r="A83" s="24">
        <v>6</v>
      </c>
      <c r="B83" s="13"/>
      <c r="C83" s="24">
        <v>8.0063915361545988</v>
      </c>
      <c r="D83" s="24">
        <f t="shared" si="60"/>
        <v>4.0031957680772994</v>
      </c>
      <c r="E83" s="24">
        <f t="shared" si="61"/>
        <v>8.0249183605464687</v>
      </c>
      <c r="F83" s="33">
        <f t="shared" si="62"/>
        <v>8.1024173605464682</v>
      </c>
      <c r="G83" s="24">
        <v>7208.82</v>
      </c>
      <c r="H83" s="24">
        <f t="shared" si="63"/>
        <v>7.2088199999999993</v>
      </c>
      <c r="I83" s="24">
        <f t="shared" si="64"/>
        <v>171.209475</v>
      </c>
      <c r="J83" s="33">
        <f t="shared" si="65"/>
        <v>4.7324585047331454E-2</v>
      </c>
      <c r="K83" s="33">
        <f t="shared" si="31"/>
        <v>47.324585047331453</v>
      </c>
      <c r="L83" s="24">
        <v>2894792.4699999988</v>
      </c>
      <c r="M83" s="33">
        <f t="shared" si="66"/>
        <v>1673.1900476599992</v>
      </c>
      <c r="N83" s="33">
        <f t="shared" si="67"/>
        <v>4795.4036969815616</v>
      </c>
      <c r="O83" s="33">
        <f t="shared" si="34"/>
        <v>2.2214506796800538E-5</v>
      </c>
      <c r="P83" s="33">
        <f t="shared" si="68"/>
        <v>0.21305505603999866</v>
      </c>
      <c r="Q83" s="15"/>
      <c r="R83" s="33">
        <f t="shared" si="13"/>
        <v>25553.652985074623</v>
      </c>
      <c r="S83" s="33">
        <f t="shared" si="14"/>
        <v>9.6232721059053204E-6</v>
      </c>
      <c r="T83" s="33">
        <f t="shared" si="36"/>
        <v>0.49181951195050566</v>
      </c>
      <c r="U83" s="33">
        <f t="shared" si="15"/>
        <v>0.18766020262474647</v>
      </c>
      <c r="V83" s="33">
        <f t="shared" si="16"/>
        <v>18.766020262474647</v>
      </c>
      <c r="W83" s="15"/>
      <c r="X83" s="15"/>
      <c r="Y83" s="24">
        <v>6.51</v>
      </c>
      <c r="Z83" s="24">
        <f t="shared" si="69"/>
        <v>6.51</v>
      </c>
      <c r="AA83" s="24">
        <f t="shared" si="70"/>
        <v>3.2549999999999999</v>
      </c>
      <c r="AC83" s="13"/>
      <c r="AD83" s="33">
        <f t="shared" si="58"/>
        <v>0.40173195913725013</v>
      </c>
      <c r="AE83" s="13"/>
      <c r="AF83" s="33">
        <f t="shared" si="59"/>
        <v>15.277741164654223</v>
      </c>
      <c r="AG83" s="13"/>
      <c r="AH83" s="15">
        <f t="shared" si="71"/>
        <v>3.3023533686199791</v>
      </c>
      <c r="BG83" s="15">
        <f t="shared" si="72"/>
        <v>3.1134853608021014</v>
      </c>
      <c r="BH83" s="15">
        <f t="shared" si="73"/>
        <v>0.20463013610521888</v>
      </c>
    </row>
    <row r="84" spans="1:60" x14ac:dyDescent="0.25">
      <c r="A84" s="24">
        <v>7</v>
      </c>
      <c r="B84" s="13"/>
      <c r="C84" s="24">
        <v>11.997108630456466</v>
      </c>
      <c r="D84" s="24">
        <f t="shared" si="60"/>
        <v>5.9985543152282332</v>
      </c>
      <c r="E84" s="24">
        <f t="shared" si="61"/>
        <v>12.015635454848336</v>
      </c>
      <c r="F84" s="33">
        <f t="shared" si="62"/>
        <v>12.093134454848336</v>
      </c>
      <c r="G84" s="24">
        <v>7263.53</v>
      </c>
      <c r="H84" s="24">
        <f t="shared" si="63"/>
        <v>7.2635299999999994</v>
      </c>
      <c r="I84" s="24">
        <f t="shared" si="64"/>
        <v>172.5088375</v>
      </c>
      <c r="J84" s="33">
        <f t="shared" si="65"/>
        <v>7.0101535840726634E-2</v>
      </c>
      <c r="K84" s="33">
        <f t="shared" si="31"/>
        <v>70.10153584072664</v>
      </c>
      <c r="L84" s="24">
        <v>3268660.6099999985</v>
      </c>
      <c r="M84" s="33">
        <f t="shared" si="66"/>
        <v>1889.2858325799989</v>
      </c>
      <c r="N84" s="33">
        <f t="shared" si="67"/>
        <v>5414.7395144260563</v>
      </c>
      <c r="O84" s="33">
        <f t="shared" si="34"/>
        <v>2.5540101189045196E-5</v>
      </c>
      <c r="P84" s="33">
        <f>2*O84*N84</f>
        <v>0.27658599022152586</v>
      </c>
      <c r="Q84" s="15"/>
      <c r="R84" s="33">
        <f t="shared" si="13"/>
        <v>25747.58768656716</v>
      </c>
      <c r="S84" s="33">
        <f t="shared" si="14"/>
        <v>1.1712325275597602E-5</v>
      </c>
      <c r="T84" s="33">
        <f t="shared" si="36"/>
        <v>0.60312824409409227</v>
      </c>
      <c r="U84" s="33">
        <f t="shared" si="15"/>
        <v>0.2103008476110946</v>
      </c>
      <c r="V84" s="33">
        <f t="shared" si="16"/>
        <v>21.03008476110946</v>
      </c>
      <c r="W84" s="15"/>
      <c r="X84" s="15"/>
      <c r="Y84" s="24">
        <v>8.11</v>
      </c>
      <c r="Z84" s="24">
        <f t="shared" si="69"/>
        <v>8.11</v>
      </c>
      <c r="AA84" s="24">
        <f t="shared" si="70"/>
        <v>4.0549999999999997</v>
      </c>
      <c r="AC84" s="13"/>
      <c r="AD84" s="33">
        <f t="shared" si="58"/>
        <v>0.33531422437582209</v>
      </c>
      <c r="AE84" s="13"/>
      <c r="AF84" s="33">
        <f t="shared" si="59"/>
        <v>14.660901648533358</v>
      </c>
      <c r="AG84" s="13"/>
      <c r="AH84" s="15">
        <f t="shared" si="71"/>
        <v>4.2870828484336512</v>
      </c>
      <c r="BG84" s="15">
        <f t="shared" si="72"/>
        <v>4.1552202655036981</v>
      </c>
      <c r="BH84" s="15">
        <f t="shared" si="73"/>
        <v>0.27157005212381718</v>
      </c>
    </row>
    <row r="85" spans="1:60" x14ac:dyDescent="0.25">
      <c r="A85" s="24">
        <v>8</v>
      </c>
      <c r="B85" s="13"/>
      <c r="C85" s="24">
        <v>17.90296867710769</v>
      </c>
      <c r="D85" s="24">
        <f t="shared" si="60"/>
        <v>8.9514843385538452</v>
      </c>
      <c r="E85" s="24">
        <f t="shared" si="61"/>
        <v>17.92149550149956</v>
      </c>
      <c r="F85" s="33">
        <f t="shared" si="62"/>
        <v>17.99899450149956</v>
      </c>
      <c r="G85" s="24">
        <v>7317.48</v>
      </c>
      <c r="H85" s="24">
        <f t="shared" si="63"/>
        <v>7.3174799999999998</v>
      </c>
      <c r="I85" s="24">
        <f t="shared" si="64"/>
        <v>173.79014999999998</v>
      </c>
      <c r="J85" s="33">
        <f t="shared" si="65"/>
        <v>0.10356740299435591</v>
      </c>
      <c r="K85" s="33">
        <f t="shared" si="31"/>
        <v>103.5674029943559</v>
      </c>
      <c r="L85" s="24">
        <v>3764567.5099999984</v>
      </c>
      <c r="M85" s="33">
        <f t="shared" si="66"/>
        <v>2175.920020779999</v>
      </c>
      <c r="N85" s="33">
        <f t="shared" si="67"/>
        <v>6236.2401250099538</v>
      </c>
      <c r="O85" s="33">
        <f t="shared" si="34"/>
        <v>2.9033852411618854E-5</v>
      </c>
      <c r="P85" s="33">
        <f t="shared" si="68"/>
        <v>0.36212415078590904</v>
      </c>
      <c r="Q85" s="15"/>
      <c r="R85" s="33">
        <f t="shared" si="13"/>
        <v>25938.828358208957</v>
      </c>
      <c r="S85" s="33">
        <f t="shared" si="14"/>
        <v>1.4236095797120513E-5</v>
      </c>
      <c r="T85" s="33">
        <f t="shared" si="36"/>
        <v>0.73853529074505786</v>
      </c>
      <c r="U85" s="33">
        <f t="shared" si="15"/>
        <v>0.24042104133960807</v>
      </c>
      <c r="V85" s="33">
        <f t="shared" si="16"/>
        <v>24.042104133960805</v>
      </c>
      <c r="W85" s="15"/>
      <c r="X85" s="15"/>
      <c r="Y85" s="24">
        <v>10.74</v>
      </c>
      <c r="Z85" s="24">
        <f t="shared" si="69"/>
        <v>10.74</v>
      </c>
      <c r="AA85" s="24">
        <f t="shared" si="70"/>
        <v>5.37</v>
      </c>
      <c r="AC85" s="13"/>
      <c r="AD85" s="33">
        <f t="shared" si="58"/>
        <v>0.29834999947094859</v>
      </c>
      <c r="AE85" s="13"/>
      <c r="AF85" s="33">
        <f t="shared" si="59"/>
        <v>14.82916836213664</v>
      </c>
      <c r="AG85" s="13"/>
      <c r="AH85" s="15">
        <f t="shared" si="71"/>
        <v>5.6129243371815898</v>
      </c>
      <c r="BG85" s="15">
        <f t="shared" si="72"/>
        <v>5.534338111681345</v>
      </c>
      <c r="BH85" s="15">
        <f t="shared" si="73"/>
        <v>0.35969597850669616</v>
      </c>
    </row>
    <row r="86" spans="1:60" x14ac:dyDescent="0.25">
      <c r="A86" s="24">
        <v>9</v>
      </c>
      <c r="B86" s="13"/>
      <c r="C86" s="24">
        <v>24.330810396534289</v>
      </c>
      <c r="D86" s="24">
        <f t="shared" si="60"/>
        <v>12.165405198267145</v>
      </c>
      <c r="E86" s="24">
        <f t="shared" si="61"/>
        <v>24.349337220926159</v>
      </c>
      <c r="F86" s="33">
        <f t="shared" si="62"/>
        <v>24.426836220926159</v>
      </c>
      <c r="G86" s="24">
        <v>7375.28</v>
      </c>
      <c r="H86" s="24">
        <f t="shared" si="63"/>
        <v>7.3752800000000001</v>
      </c>
      <c r="I86" s="24">
        <f t="shared" si="64"/>
        <v>175.16290000000001</v>
      </c>
      <c r="J86" s="33">
        <f t="shared" si="65"/>
        <v>0.13945211126857432</v>
      </c>
      <c r="K86" s="33">
        <f t="shared" si="31"/>
        <v>139.45211126857433</v>
      </c>
      <c r="L86" s="24">
        <v>4211470.9699999988</v>
      </c>
      <c r="M86" s="33">
        <f t="shared" si="66"/>
        <v>2434.2302206599993</v>
      </c>
      <c r="N86" s="33">
        <f t="shared" si="67"/>
        <v>6976.5634906700325</v>
      </c>
      <c r="O86" s="33">
        <f t="shared" si="34"/>
        <v>3.1978257267470285E-5</v>
      </c>
      <c r="P86" s="33">
        <f t="shared" si="68"/>
        <v>0.44619668429497367</v>
      </c>
      <c r="Q86" s="15"/>
      <c r="R86" s="33">
        <f t="shared" si="13"/>
        <v>26143.716417910447</v>
      </c>
      <c r="S86" s="33">
        <f t="shared" si="14"/>
        <v>1.6519310089820099E-5</v>
      </c>
      <c r="T86" s="33">
        <f t="shared" si="36"/>
        <v>0.86375231681556686</v>
      </c>
      <c r="U86" s="33">
        <f t="shared" si="15"/>
        <v>0.26685431325634151</v>
      </c>
      <c r="V86" s="33">
        <f t="shared" si="16"/>
        <v>26.685431325634152</v>
      </c>
      <c r="W86" s="15"/>
      <c r="X86" s="15"/>
      <c r="Y86" s="24">
        <v>13.42</v>
      </c>
      <c r="Z86" s="24">
        <f t="shared" si="69"/>
        <v>13.42</v>
      </c>
      <c r="AA86" s="24">
        <f t="shared" si="70"/>
        <v>6.71</v>
      </c>
      <c r="AC86" s="13"/>
      <c r="AD86" s="33">
        <f t="shared" si="58"/>
        <v>0.27469787488285646</v>
      </c>
      <c r="AE86" s="13"/>
      <c r="AF86" s="33">
        <f t="shared" si="59"/>
        <v>15.038211255653625</v>
      </c>
      <c r="AG86" s="13"/>
      <c r="AH86" s="15">
        <f t="shared" si="71"/>
        <v>6.9160486065720921</v>
      </c>
      <c r="BG86" s="15">
        <f t="shared" si="72"/>
        <v>6.8967452481804674</v>
      </c>
      <c r="BH86" s="15">
        <f t="shared" si="73"/>
        <v>0.44633137094048564</v>
      </c>
    </row>
    <row r="87" spans="1:60" x14ac:dyDescent="0.25">
      <c r="A87" s="24">
        <v>10</v>
      </c>
      <c r="B87" s="13"/>
      <c r="C87" s="24">
        <v>30.037990336554742</v>
      </c>
      <c r="D87" s="24">
        <f t="shared" si="60"/>
        <v>15.018995168277371</v>
      </c>
      <c r="E87" s="24">
        <f t="shared" si="61"/>
        <v>30.056517160946612</v>
      </c>
      <c r="F87" s="33">
        <f t="shared" si="62"/>
        <v>30.134016160946612</v>
      </c>
      <c r="G87" s="24">
        <v>7434.62</v>
      </c>
      <c r="H87" s="24">
        <f t="shared" si="63"/>
        <v>7.4346199999999998</v>
      </c>
      <c r="I87" s="24">
        <f t="shared" si="64"/>
        <v>176.572225</v>
      </c>
      <c r="J87" s="33">
        <f t="shared" si="65"/>
        <v>0.17066113405404848</v>
      </c>
      <c r="K87" s="33">
        <f t="shared" ref="K87:K90" si="74">J87*1000</f>
        <v>170.66113405404849</v>
      </c>
      <c r="L87" s="24">
        <v>4558041.879999998</v>
      </c>
      <c r="M87" s="33">
        <f t="shared" si="66"/>
        <v>2634.5482066399986</v>
      </c>
      <c r="N87" s="33">
        <f t="shared" si="67"/>
        <v>7550.6797495396222</v>
      </c>
      <c r="O87" s="33">
        <f t="shared" si="34"/>
        <v>3.4141094555403265E-5</v>
      </c>
      <c r="P87" s="33">
        <f t="shared" si="68"/>
        <v>0.51557694257320175</v>
      </c>
      <c r="Q87" s="15"/>
      <c r="R87" s="33">
        <f t="shared" si="13"/>
        <v>26354.063432835817</v>
      </c>
      <c r="S87" s="33">
        <f t="shared" si="14"/>
        <v>1.8274549190566147E-5</v>
      </c>
      <c r="T87" s="33">
        <f t="shared" si="36"/>
        <v>0.96321725714931739</v>
      </c>
      <c r="U87" s="33">
        <f t="shared" si="15"/>
        <v>0.28650912861247274</v>
      </c>
      <c r="V87" s="33">
        <f t="shared" si="16"/>
        <v>28.650912861247274</v>
      </c>
      <c r="W87" s="15"/>
      <c r="X87" s="15"/>
      <c r="Y87" s="24">
        <v>15.81</v>
      </c>
      <c r="Z87" s="24">
        <f t="shared" si="69"/>
        <v>15.81</v>
      </c>
      <c r="AA87" s="24">
        <f t="shared" si="70"/>
        <v>7.9050000000000002</v>
      </c>
      <c r="AC87" s="13"/>
      <c r="AD87" s="33">
        <f t="shared" si="58"/>
        <v>0.2623281263864457</v>
      </c>
      <c r="AE87" s="13"/>
      <c r="AF87" s="33">
        <f t="shared" si="59"/>
        <v>15.332338099812612</v>
      </c>
      <c r="AG87" s="13"/>
      <c r="AH87" s="15">
        <f t="shared" si="71"/>
        <v>7.9914426098846274</v>
      </c>
      <c r="BG87" s="15">
        <f t="shared" si="72"/>
        <v>8.0235150308384782</v>
      </c>
      <c r="BH87" s="15">
        <f t="shared" si="73"/>
        <v>0.51772750951858748</v>
      </c>
    </row>
    <row r="88" spans="1:60" x14ac:dyDescent="0.25">
      <c r="A88" s="24">
        <v>11</v>
      </c>
      <c r="B88" s="13"/>
      <c r="C88" s="24">
        <v>36.642229256914817</v>
      </c>
      <c r="D88" s="24">
        <f t="shared" si="60"/>
        <v>18.321114628457408</v>
      </c>
      <c r="E88" s="24">
        <f t="shared" si="61"/>
        <v>36.660756081306687</v>
      </c>
      <c r="F88" s="33">
        <f t="shared" si="62"/>
        <v>36.73825508130669</v>
      </c>
      <c r="G88" s="24">
        <v>7483.17</v>
      </c>
      <c r="H88" s="24">
        <f t="shared" si="63"/>
        <v>7.4831700000000003</v>
      </c>
      <c r="I88" s="24">
        <f t="shared" si="64"/>
        <v>177.72528750000001</v>
      </c>
      <c r="J88" s="33">
        <f t="shared" ref="J88:J90" si="75">F88/I88</f>
        <v>0.20671371867273919</v>
      </c>
      <c r="K88" s="33">
        <f t="shared" si="74"/>
        <v>206.71371867273919</v>
      </c>
      <c r="L88" s="24">
        <v>4941543.9999999991</v>
      </c>
      <c r="M88" s="33">
        <f t="shared" si="66"/>
        <v>2856.2124319999989</v>
      </c>
      <c r="N88" s="33">
        <f t="shared" si="67"/>
        <v>8185.9748538025788</v>
      </c>
      <c r="O88" s="33">
        <f t="shared" si="34"/>
        <v>3.620478867070394E-5</v>
      </c>
      <c r="P88" s="33">
        <f t="shared" si="68"/>
        <v>0.59274297929123787</v>
      </c>
      <c r="Q88" s="15"/>
      <c r="R88" s="33">
        <f t="shared" ref="R88:R151" si="76">(H88/$F$8)*$F$5</f>
        <v>26526.162313432833</v>
      </c>
      <c r="S88" s="33">
        <f t="shared" ref="S88:S151" si="77">SQRT((4*$F$8*F88)/(2*3.14*$F$10*R88))</f>
        <v>2.0112405130542479E-5</v>
      </c>
      <c r="T88" s="33">
        <f t="shared" si="36"/>
        <v>1.0670098460125781</v>
      </c>
      <c r="U88" s="33">
        <f t="shared" ref="U88:U151" si="78">N88/R88</f>
        <v>0.30860004387657713</v>
      </c>
      <c r="V88" s="33">
        <f t="shared" ref="V88:V151" si="79">U88*100</f>
        <v>30.860004387657714</v>
      </c>
      <c r="W88" s="15"/>
      <c r="X88" s="15"/>
      <c r="Y88" s="24">
        <v>18.170000000000002</v>
      </c>
      <c r="Z88" s="24">
        <f t="shared" si="69"/>
        <v>18.170000000000002</v>
      </c>
      <c r="AA88" s="24">
        <f t="shared" si="70"/>
        <v>9.0850000000000009</v>
      </c>
      <c r="AC88" s="13"/>
      <c r="AD88" s="33">
        <f t="shared" si="58"/>
        <v>0.2472899156449776</v>
      </c>
      <c r="AE88" s="13"/>
      <c r="AF88" s="33">
        <f t="shared" si="59"/>
        <v>15.327047839289859</v>
      </c>
      <c r="AG88" s="13"/>
      <c r="AH88" s="15">
        <f t="shared" si="71"/>
        <v>9.187516179014187</v>
      </c>
      <c r="BG88" s="15">
        <f t="shared" si="72"/>
        <v>9.2552722774145906</v>
      </c>
      <c r="BH88" s="15">
        <f t="shared" si="73"/>
        <v>0.5955536763141398</v>
      </c>
    </row>
    <row r="89" spans="1:60" x14ac:dyDescent="0.25">
      <c r="A89" s="24">
        <v>12</v>
      </c>
      <c r="B89" s="13"/>
      <c r="C89" s="24">
        <v>42.433539153615996</v>
      </c>
      <c r="D89" s="24">
        <f t="shared" si="60"/>
        <v>21.216769576807998</v>
      </c>
      <c r="E89" s="24">
        <f t="shared" si="61"/>
        <v>42.452065978007866</v>
      </c>
      <c r="F89" s="33">
        <f t="shared" si="62"/>
        <v>42.529564978007869</v>
      </c>
      <c r="G89" s="24">
        <v>7541.74</v>
      </c>
      <c r="H89" s="24">
        <f t="shared" si="63"/>
        <v>7.5417399999999999</v>
      </c>
      <c r="I89" s="24">
        <f t="shared" si="64"/>
        <v>179.11632499999999</v>
      </c>
      <c r="J89" s="33">
        <f t="shared" si="75"/>
        <v>0.23744103156430812</v>
      </c>
      <c r="K89" s="33">
        <f t="shared" si="74"/>
        <v>237.44103156430813</v>
      </c>
      <c r="L89" s="24">
        <v>5301221.6599999983</v>
      </c>
      <c r="M89" s="33">
        <f t="shared" si="66"/>
        <v>3064.1061194799991</v>
      </c>
      <c r="N89" s="33">
        <f t="shared" si="67"/>
        <v>8781.8032588991555</v>
      </c>
      <c r="O89" s="33">
        <f t="shared" si="34"/>
        <v>3.7609328204908799E-5</v>
      </c>
      <c r="P89" s="33">
        <f t="shared" si="68"/>
        <v>0.66055544198975202</v>
      </c>
      <c r="Q89" s="15"/>
      <c r="R89" s="33">
        <f t="shared" si="76"/>
        <v>26733.779850746268</v>
      </c>
      <c r="S89" s="33">
        <f t="shared" si="77"/>
        <v>2.1555457449128706E-5</v>
      </c>
      <c r="T89" s="33">
        <f t="shared" si="36"/>
        <v>1.1525177080542712</v>
      </c>
      <c r="U89" s="33">
        <f t="shared" si="78"/>
        <v>0.32849089458833158</v>
      </c>
      <c r="V89" s="33">
        <f t="shared" si="79"/>
        <v>32.849089458833156</v>
      </c>
      <c r="W89" s="15"/>
      <c r="X89" s="15"/>
      <c r="Y89" s="24">
        <v>20.7</v>
      </c>
      <c r="Z89" s="24">
        <f t="shared" si="69"/>
        <v>20.7</v>
      </c>
      <c r="AA89" s="24">
        <f t="shared" si="70"/>
        <v>10.35</v>
      </c>
      <c r="AC89" s="13"/>
      <c r="AD89" s="33">
        <f t="shared" si="58"/>
        <v>0.2433601191395211</v>
      </c>
      <c r="AE89" s="13"/>
      <c r="AF89" s="33">
        <f t="shared" si="59"/>
        <v>15.668631793908634</v>
      </c>
      <c r="AG89" s="13"/>
      <c r="AH89" s="15">
        <f t="shared" si="71"/>
        <v>10.238609350841156</v>
      </c>
      <c r="BG89" s="15">
        <f t="shared" si="72"/>
        <v>10.285036547696249</v>
      </c>
      <c r="BH89" s="15">
        <f t="shared" si="73"/>
        <v>0.66046154435670745</v>
      </c>
    </row>
    <row r="90" spans="1:60" x14ac:dyDescent="0.25">
      <c r="A90" s="25">
        <v>13</v>
      </c>
      <c r="B90" s="2"/>
      <c r="C90" s="25">
        <v>49.058928023991882</v>
      </c>
      <c r="D90" s="24">
        <f t="shared" si="60"/>
        <v>24.529464011995941</v>
      </c>
      <c r="E90" s="25">
        <f>C90-$C$77</f>
        <v>49.077454848383752</v>
      </c>
      <c r="F90" s="25">
        <f t="shared" si="62"/>
        <v>49.154953848383755</v>
      </c>
      <c r="G90" s="25">
        <v>7580.28</v>
      </c>
      <c r="H90" s="25">
        <f t="shared" si="63"/>
        <v>7.5802800000000001</v>
      </c>
      <c r="I90" s="25">
        <f t="shared" si="64"/>
        <v>180.03165000000001</v>
      </c>
      <c r="J90" s="25">
        <f t="shared" si="75"/>
        <v>0.27303506826929458</v>
      </c>
      <c r="K90" s="25">
        <f t="shared" si="74"/>
        <v>273.03506826929458</v>
      </c>
      <c r="L90" s="25">
        <v>5627262.6199999982</v>
      </c>
      <c r="M90" s="25">
        <f t="shared" si="66"/>
        <v>3252.5577943599988</v>
      </c>
      <c r="N90" s="25">
        <f t="shared" si="67"/>
        <v>9321.9103792383939</v>
      </c>
      <c r="O90" s="25">
        <f t="shared" si="34"/>
        <v>3.924398870116974E-5</v>
      </c>
      <c r="P90" s="25">
        <f t="shared" si="68"/>
        <v>0.73165789119229696</v>
      </c>
      <c r="Q90" s="15"/>
      <c r="R90" s="25">
        <f t="shared" si="76"/>
        <v>26870.395522388058</v>
      </c>
      <c r="S90" s="25">
        <f t="shared" si="77"/>
        <v>2.3114716652673178E-5</v>
      </c>
      <c r="T90" s="25">
        <f t="shared" si="36"/>
        <v>1.2422031576905161</v>
      </c>
      <c r="U90" s="25">
        <f t="shared" si="78"/>
        <v>0.34692121935724768</v>
      </c>
      <c r="V90" s="33">
        <f t="shared" si="79"/>
        <v>34.692121935724771</v>
      </c>
      <c r="W90" s="15"/>
      <c r="X90" s="15"/>
      <c r="Y90" s="25">
        <v>23.38</v>
      </c>
      <c r="Z90" s="25">
        <f t="shared" si="69"/>
        <v>23.38</v>
      </c>
      <c r="AA90" s="25">
        <f t="shared" si="70"/>
        <v>11.69</v>
      </c>
      <c r="AB90" s="15"/>
      <c r="AC90" s="13"/>
      <c r="AD90" s="25">
        <f t="shared" si="58"/>
        <v>0.23781936681412169</v>
      </c>
      <c r="AE90" s="2"/>
      <c r="AF90" s="25">
        <f t="shared" si="59"/>
        <v>15.977412586844624</v>
      </c>
      <c r="AG90" s="2"/>
      <c r="AH90" s="2">
        <f t="shared" si="71"/>
        <v>11.340697313480604</v>
      </c>
      <c r="AO90" s="2"/>
      <c r="AP90" s="2"/>
      <c r="AQ90" s="2"/>
      <c r="AR90" s="2"/>
      <c r="AS90" s="2"/>
      <c r="AW90" s="2"/>
      <c r="AX90" s="2"/>
      <c r="AY90" s="2"/>
      <c r="AZ90" s="2"/>
      <c r="BA90" s="2"/>
      <c r="BG90" s="2">
        <f t="shared" si="72"/>
        <v>11.416180489057489</v>
      </c>
      <c r="BH90" s="2">
        <f t="shared" si="73"/>
        <v>0.73161441504234404</v>
      </c>
    </row>
    <row r="91" spans="1:60" x14ac:dyDescent="0.25">
      <c r="M91" s="4"/>
      <c r="N91" s="4"/>
      <c r="O91" s="33"/>
      <c r="P91" s="4"/>
      <c r="Q91" s="15"/>
      <c r="R91" s="33"/>
      <c r="S91" s="33"/>
      <c r="T91" s="33"/>
      <c r="U91" s="33"/>
      <c r="V91" s="33"/>
      <c r="W91" s="15"/>
      <c r="X91" s="15"/>
      <c r="AH91" s="15"/>
    </row>
    <row r="92" spans="1:60" x14ac:dyDescent="0.25">
      <c r="O92" s="33"/>
      <c r="Q92" s="15"/>
      <c r="R92" s="33"/>
      <c r="S92" s="33"/>
      <c r="T92" s="33"/>
      <c r="U92" s="33"/>
      <c r="V92" s="33"/>
      <c r="W92" s="15"/>
      <c r="X92" s="15"/>
      <c r="Y92" s="10" t="s">
        <v>28</v>
      </c>
      <c r="Z92" s="10" t="s">
        <v>28</v>
      </c>
      <c r="AA92" s="10" t="s">
        <v>28</v>
      </c>
      <c r="AH92" s="15"/>
    </row>
    <row r="93" spans="1:60" x14ac:dyDescent="0.25">
      <c r="A93" s="18" t="s">
        <v>65</v>
      </c>
      <c r="B93" s="18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5"/>
      <c r="P93" s="2"/>
      <c r="Q93" s="15"/>
      <c r="R93" s="25"/>
      <c r="S93" s="33"/>
      <c r="T93" s="33"/>
      <c r="U93" s="33"/>
      <c r="V93" s="33"/>
      <c r="W93" s="15"/>
      <c r="X93" s="15"/>
      <c r="Y93" s="18" t="s">
        <v>27</v>
      </c>
      <c r="Z93" s="18" t="s">
        <v>29</v>
      </c>
      <c r="AA93" s="18" t="s">
        <v>30</v>
      </c>
      <c r="AB93" s="26"/>
      <c r="AC93" s="13"/>
      <c r="AD93" s="18" t="s">
        <v>14</v>
      </c>
      <c r="AE93" s="2"/>
      <c r="AF93" s="20" t="s">
        <v>17</v>
      </c>
      <c r="AG93" s="2"/>
      <c r="AH93" s="18" t="s">
        <v>16</v>
      </c>
      <c r="AO93" s="18" t="s">
        <v>60</v>
      </c>
      <c r="AP93" s="18"/>
      <c r="AQ93" s="2"/>
      <c r="AR93" s="2"/>
      <c r="AS93" s="2"/>
      <c r="AT93" s="13"/>
      <c r="AU93" s="13"/>
      <c r="AV93" s="13"/>
      <c r="AW93" s="18" t="s">
        <v>61</v>
      </c>
      <c r="AX93" s="18"/>
      <c r="AY93" s="2"/>
      <c r="AZ93" s="2"/>
      <c r="BA93" s="2"/>
      <c r="BD93" s="2"/>
      <c r="BG93" s="2"/>
      <c r="BH93" s="2"/>
    </row>
    <row r="94" spans="1:60" ht="18.75" x14ac:dyDescent="0.35">
      <c r="A94" s="18" t="s">
        <v>0</v>
      </c>
      <c r="B94" s="18"/>
      <c r="C94" s="18" t="s">
        <v>12</v>
      </c>
      <c r="D94" s="18"/>
      <c r="E94" s="18" t="s">
        <v>13</v>
      </c>
      <c r="F94" s="18" t="s">
        <v>1</v>
      </c>
      <c r="G94" s="18" t="s">
        <v>19</v>
      </c>
      <c r="H94" s="18" t="s">
        <v>2</v>
      </c>
      <c r="I94" s="18" t="s">
        <v>3</v>
      </c>
      <c r="J94" s="20" t="s">
        <v>4</v>
      </c>
      <c r="K94" s="20" t="s">
        <v>15</v>
      </c>
      <c r="L94" s="18" t="s">
        <v>33</v>
      </c>
      <c r="M94" s="18" t="s">
        <v>34</v>
      </c>
      <c r="N94" s="18" t="s">
        <v>35</v>
      </c>
      <c r="O94" s="18" t="s">
        <v>9</v>
      </c>
      <c r="P94" s="18" t="s">
        <v>40</v>
      </c>
      <c r="Q94" s="26"/>
      <c r="R94" s="18" t="s">
        <v>43</v>
      </c>
      <c r="S94" s="20" t="s">
        <v>41</v>
      </c>
      <c r="T94" s="21" t="s">
        <v>42</v>
      </c>
      <c r="U94" s="21" t="s">
        <v>44</v>
      </c>
      <c r="V94" s="33"/>
      <c r="W94" s="33"/>
      <c r="X94" s="35" t="s">
        <v>32</v>
      </c>
      <c r="Y94" s="34">
        <v>4.4604599680067171E-2</v>
      </c>
      <c r="Z94" s="19"/>
      <c r="AA94" s="19"/>
      <c r="AB94" s="15"/>
      <c r="AC94" s="13"/>
      <c r="AD94" s="19"/>
      <c r="AE94" s="19"/>
      <c r="AF94" s="19"/>
      <c r="AG94" s="19"/>
      <c r="AH94" s="19"/>
      <c r="AI94" s="13"/>
      <c r="AJ94" s="13"/>
      <c r="AK94" s="13"/>
      <c r="AL94" s="13"/>
      <c r="AM94" s="13"/>
      <c r="AN94" s="13"/>
      <c r="AO94" s="19"/>
      <c r="AP94" s="20" t="s">
        <v>48</v>
      </c>
      <c r="AQ94" s="20"/>
      <c r="AR94" s="20" t="s">
        <v>47</v>
      </c>
      <c r="AS94" s="20"/>
      <c r="AW94" s="2"/>
      <c r="AX94" s="18" t="s">
        <v>48</v>
      </c>
      <c r="AY94" s="18"/>
      <c r="AZ94" s="18" t="s">
        <v>47</v>
      </c>
      <c r="BA94" s="18"/>
      <c r="BD94" s="2" t="s">
        <v>59</v>
      </c>
      <c r="BG94" s="2" t="s">
        <v>62</v>
      </c>
      <c r="BH94" s="2" t="s">
        <v>63</v>
      </c>
    </row>
    <row r="95" spans="1:60" ht="18" x14ac:dyDescent="0.35">
      <c r="A95" s="24">
        <v>0</v>
      </c>
      <c r="B95" s="13"/>
      <c r="C95" s="24">
        <v>-3.6605131622792386E-2</v>
      </c>
      <c r="D95" s="24">
        <f>C95/2</f>
        <v>-1.8302565811396193E-2</v>
      </c>
      <c r="E95" s="32">
        <f>C95-$C$95</f>
        <v>0</v>
      </c>
      <c r="F95" s="32">
        <f>E95+($F$2*9.81)</f>
        <v>7.7499000000000012E-2</v>
      </c>
      <c r="G95" s="24">
        <v>7395.99</v>
      </c>
      <c r="H95" s="24">
        <f>G95/1000</f>
        <v>7.3959899999999994</v>
      </c>
      <c r="I95" s="24">
        <f>H95*$F$5</f>
        <v>175.65476249999998</v>
      </c>
      <c r="J95" s="33">
        <f>F95/I95</f>
        <v>4.4120067624127201E-4</v>
      </c>
      <c r="K95" s="33">
        <f t="shared" ref="K95:K108" si="80">J95*1000</f>
        <v>0.44120067624127202</v>
      </c>
      <c r="L95" s="24">
        <v>267697.16000000003</v>
      </c>
      <c r="M95" s="32">
        <f>((L95*$F$6)/1000)</f>
        <v>154.72895847999999</v>
      </c>
      <c r="N95" s="32">
        <f>M95*($F$5/$F$14)</f>
        <v>443.45698838143829</v>
      </c>
      <c r="O95" s="33">
        <f>SQRT((4*$F$8*F95)/(2*3.14*$F$10*N95))</f>
        <v>7.1443752125509907E-6</v>
      </c>
      <c r="P95" s="32">
        <f>2*O95*N95</f>
        <v>6.3364462312497207E-3</v>
      </c>
      <c r="Q95" s="15"/>
      <c r="R95" s="33">
        <f t="shared" si="76"/>
        <v>26217.128731343284</v>
      </c>
      <c r="S95" s="33">
        <f t="shared" si="77"/>
        <v>9.2917484391339728E-7</v>
      </c>
      <c r="T95" s="33">
        <f t="shared" si="36"/>
        <v>4.8720592993606676E-2</v>
      </c>
      <c r="U95" s="33">
        <f t="shared" si="78"/>
        <v>1.6914780902428629E-2</v>
      </c>
      <c r="V95" s="33">
        <f t="shared" si="79"/>
        <v>1.691478090242863</v>
      </c>
      <c r="W95" s="15"/>
      <c r="X95" s="15"/>
      <c r="Y95" s="24">
        <v>0.43</v>
      </c>
      <c r="Z95" s="24">
        <f>Y95-$Y$94</f>
        <v>0.3853954003199328</v>
      </c>
      <c r="AA95" s="24">
        <f>Z95/2</f>
        <v>0.1926977001599664</v>
      </c>
      <c r="AB95" s="27"/>
      <c r="AC95" s="13"/>
      <c r="AD95" s="32">
        <f t="shared" ref="AD95:AD108" si="81">AA95/F95</f>
        <v>2.4864540208256414</v>
      </c>
      <c r="AE95" s="13"/>
      <c r="AF95" s="32">
        <f t="shared" ref="AF95:AF108" si="82">AA95/P95</f>
        <v>30.411005337602486</v>
      </c>
      <c r="AG95" s="13"/>
      <c r="AH95" s="15">
        <f>P95*15</f>
        <v>9.5046693468745808E-2</v>
      </c>
      <c r="AO95" s="10" t="s">
        <v>55</v>
      </c>
      <c r="AP95">
        <v>0.64200000000000002</v>
      </c>
      <c r="AR95">
        <v>0.59540000000000004</v>
      </c>
      <c r="AS95">
        <v>0.68859999999999999</v>
      </c>
      <c r="AW95" s="46" t="s">
        <v>57</v>
      </c>
      <c r="AX95" s="13">
        <v>4.6609999999999999E-2</v>
      </c>
      <c r="AY95" s="13"/>
      <c r="AZ95" s="13">
        <v>4.4269999999999997E-2</v>
      </c>
      <c r="BA95" s="13">
        <v>4.895E-2</v>
      </c>
      <c r="BD95">
        <f>AP95/AX95</f>
        <v>13.773868268611887</v>
      </c>
      <c r="BG95" s="38">
        <f>$AP$95*(F95^$AP$96)</f>
        <v>0.10085991891469195</v>
      </c>
      <c r="BH95">
        <f>$AX$95*(F95^$AX$96)</f>
        <v>7.7186827286211731E-3</v>
      </c>
    </row>
    <row r="96" spans="1:60" ht="18" x14ac:dyDescent="0.35">
      <c r="A96" s="24">
        <v>1</v>
      </c>
      <c r="B96" s="13"/>
      <c r="C96" s="24">
        <v>0.80470476507829991</v>
      </c>
      <c r="D96" s="24">
        <f t="shared" ref="D96:D108" si="83">C96/2</f>
        <v>0.40235238253914996</v>
      </c>
      <c r="E96" s="33">
        <f t="shared" ref="E96:E108" si="84">C96-$C$95</f>
        <v>0.84130989670109235</v>
      </c>
      <c r="F96" s="33">
        <f t="shared" ref="F96:F108" si="85">E96+($F$2*9.81)</f>
        <v>0.91880889670109234</v>
      </c>
      <c r="G96" s="24">
        <v>7349.85</v>
      </c>
      <c r="H96" s="24">
        <f t="shared" ref="H96:H108" si="86">G96/1000</f>
        <v>7.34985</v>
      </c>
      <c r="I96" s="24">
        <f t="shared" ref="I96:I108" si="87">H96*$F$5</f>
        <v>174.55893750000001</v>
      </c>
      <c r="J96" s="33">
        <f t="shared" ref="J96:J105" si="88">F96/I96</f>
        <v>5.2636027112681772E-3</v>
      </c>
      <c r="K96" s="33">
        <f t="shared" si="80"/>
        <v>5.2636027112681774</v>
      </c>
      <c r="L96" s="24">
        <v>731903.94000000006</v>
      </c>
      <c r="M96" s="33">
        <f t="shared" ref="M96:M108" si="89">((L96*$F$6)/1000)</f>
        <v>423.04047731999998</v>
      </c>
      <c r="N96" s="33">
        <f t="shared" ref="N96:N108" si="90">M96*($F$5/$F$14)</f>
        <v>1212.4443793759669</v>
      </c>
      <c r="O96" s="33">
        <f t="shared" si="34"/>
        <v>1.487728356695097E-5</v>
      </c>
      <c r="P96" s="33">
        <f t="shared" ref="P96:P108" si="91">2*O96*N96</f>
        <v>3.607575768226428E-2</v>
      </c>
      <c r="Q96" s="15"/>
      <c r="R96" s="33">
        <f t="shared" si="76"/>
        <v>26053.572761194031</v>
      </c>
      <c r="S96" s="33">
        <f t="shared" si="77"/>
        <v>3.2093782838363661E-6</v>
      </c>
      <c r="T96" s="33">
        <f t="shared" si="36"/>
        <v>0.16723154127225359</v>
      </c>
      <c r="U96" s="33">
        <f t="shared" si="78"/>
        <v>4.6536587917871457E-2</v>
      </c>
      <c r="V96" s="33">
        <f t="shared" si="79"/>
        <v>4.6536587917871453</v>
      </c>
      <c r="X96" s="13"/>
      <c r="Y96" s="24">
        <v>1.37</v>
      </c>
      <c r="Z96" s="24">
        <f t="shared" ref="Z96:Z107" si="92">Y96-$Y$94</f>
        <v>1.3253954003199329</v>
      </c>
      <c r="AA96" s="24">
        <f t="shared" ref="AA96:AA107" si="93">Z96/2</f>
        <v>0.66269770015996643</v>
      </c>
      <c r="AC96" s="13"/>
      <c r="AD96" s="33">
        <f t="shared" si="81"/>
        <v>0.721257382834807</v>
      </c>
      <c r="AE96" s="13"/>
      <c r="AF96" s="33">
        <f t="shared" si="82"/>
        <v>18.369612801944413</v>
      </c>
      <c r="AG96" s="13"/>
      <c r="AH96" s="15">
        <f t="shared" ref="AH96:AH108" si="94">P96*15</f>
        <v>0.54113636523396424</v>
      </c>
      <c r="AO96" s="10" t="s">
        <v>56</v>
      </c>
      <c r="AP96">
        <v>0.72370000000000001</v>
      </c>
      <c r="AR96">
        <v>0.70299999999999996</v>
      </c>
      <c r="AS96">
        <v>0.74450000000000005</v>
      </c>
      <c r="AW96" s="46" t="s">
        <v>58</v>
      </c>
      <c r="AX96" s="13">
        <v>0.70309999999999995</v>
      </c>
      <c r="AY96" s="13"/>
      <c r="AZ96" s="13">
        <v>0.68869999999999998</v>
      </c>
      <c r="BA96" s="13">
        <v>0.71750000000000003</v>
      </c>
      <c r="BG96" s="15">
        <f t="shared" ref="BG96:BG108" si="95">$AP$95*(F96^$AP$96)</f>
        <v>0.60383891668869749</v>
      </c>
      <c r="BH96" s="13">
        <f t="shared" ref="BH96:BH108" si="96">$AX$95*(F96^$AX$96)</f>
        <v>4.3915995838698728E-2</v>
      </c>
    </row>
    <row r="97" spans="1:60" x14ac:dyDescent="0.25">
      <c r="A97" s="24">
        <v>2</v>
      </c>
      <c r="B97" s="13"/>
      <c r="C97" s="24">
        <v>1.6380566477840781</v>
      </c>
      <c r="D97" s="24">
        <f t="shared" si="83"/>
        <v>0.81902832389203906</v>
      </c>
      <c r="E97" s="33">
        <f t="shared" si="84"/>
        <v>1.6746617794068706</v>
      </c>
      <c r="F97" s="33">
        <f t="shared" si="85"/>
        <v>1.7521607794068705</v>
      </c>
      <c r="G97" s="24">
        <v>7426.14</v>
      </c>
      <c r="H97" s="24">
        <f t="shared" si="86"/>
        <v>7.4261400000000002</v>
      </c>
      <c r="I97" s="24">
        <f t="shared" si="87"/>
        <v>176.370825</v>
      </c>
      <c r="J97" s="33">
        <f t="shared" si="88"/>
        <v>9.934527319962758E-3</v>
      </c>
      <c r="K97" s="33">
        <f t="shared" si="80"/>
        <v>9.9345273199627577</v>
      </c>
      <c r="L97" s="24">
        <v>1104769.56</v>
      </c>
      <c r="M97" s="33">
        <f t="shared" si="89"/>
        <v>638.55680568000002</v>
      </c>
      <c r="N97" s="33">
        <f t="shared" si="90"/>
        <v>1830.1194601133861</v>
      </c>
      <c r="O97" s="33">
        <f t="shared" si="34"/>
        <v>1.6722038354520267E-5</v>
      </c>
      <c r="P97" s="33">
        <f t="shared" si="91"/>
        <v>6.1206655610739936E-2</v>
      </c>
      <c r="Q97" s="15"/>
      <c r="R97" s="33">
        <f t="shared" si="76"/>
        <v>26324.003731343284</v>
      </c>
      <c r="S97" s="33">
        <f t="shared" si="77"/>
        <v>4.4091305990361281E-6</v>
      </c>
      <c r="T97" s="33">
        <f t="shared" si="36"/>
        <v>0.23213194068201376</v>
      </c>
      <c r="U97" s="33">
        <f t="shared" si="78"/>
        <v>6.9522838500980455E-2</v>
      </c>
      <c r="V97" s="33">
        <f t="shared" si="79"/>
        <v>6.9522838500980457</v>
      </c>
      <c r="W97" s="13"/>
      <c r="X97" s="13"/>
      <c r="Y97" s="24">
        <v>2.0699999999999998</v>
      </c>
      <c r="Z97" s="24">
        <f t="shared" si="92"/>
        <v>2.0253954003199328</v>
      </c>
      <c r="AA97" s="24">
        <f t="shared" si="93"/>
        <v>1.0126977001599664</v>
      </c>
      <c r="AC97" s="13"/>
      <c r="AD97" s="33">
        <f t="shared" si="81"/>
        <v>0.57797076162313021</v>
      </c>
      <c r="AE97" s="13"/>
      <c r="AF97" s="33">
        <f t="shared" si="82"/>
        <v>16.545548683471413</v>
      </c>
      <c r="AG97" s="13"/>
      <c r="AH97" s="15">
        <f t="shared" si="94"/>
        <v>0.91809983416109908</v>
      </c>
      <c r="BG97" s="15">
        <f t="shared" si="95"/>
        <v>0.96340633813659005</v>
      </c>
      <c r="BH97" s="13">
        <f t="shared" si="96"/>
        <v>6.9141046808203571E-2</v>
      </c>
    </row>
    <row r="98" spans="1:60" x14ac:dyDescent="0.25">
      <c r="A98" s="24">
        <v>3</v>
      </c>
      <c r="B98" s="13"/>
      <c r="C98" s="24">
        <v>3.2359450183272003</v>
      </c>
      <c r="D98" s="24">
        <f t="shared" si="83"/>
        <v>1.6179725091636001</v>
      </c>
      <c r="E98" s="33">
        <f t="shared" si="84"/>
        <v>3.2725501499499927</v>
      </c>
      <c r="F98" s="33">
        <f t="shared" si="85"/>
        <v>3.3500491499499927</v>
      </c>
      <c r="G98" s="24">
        <v>7490.11</v>
      </c>
      <c r="H98" s="24">
        <f t="shared" si="86"/>
        <v>7.4901099999999996</v>
      </c>
      <c r="I98" s="24">
        <f t="shared" si="87"/>
        <v>177.89011249999999</v>
      </c>
      <c r="J98" s="33">
        <f t="shared" si="88"/>
        <v>1.8832126771239143E-2</v>
      </c>
      <c r="K98" s="33">
        <f t="shared" si="80"/>
        <v>18.832126771239142</v>
      </c>
      <c r="L98" s="24">
        <v>1627789.4599999993</v>
      </c>
      <c r="M98" s="33">
        <f t="shared" si="89"/>
        <v>940.86230787999955</v>
      </c>
      <c r="N98" s="33">
        <f t="shared" si="90"/>
        <v>2696.5344408235314</v>
      </c>
      <c r="O98" s="33">
        <f t="shared" si="34"/>
        <v>1.9048665736575057E-5</v>
      </c>
      <c r="P98" s="33">
        <f t="shared" si="91"/>
        <v>0.10273076642081957</v>
      </c>
      <c r="Q98" s="15"/>
      <c r="R98" s="33">
        <f t="shared" si="76"/>
        <v>26550.76305970149</v>
      </c>
      <c r="S98" s="33">
        <f t="shared" si="77"/>
        <v>6.0705640151678611E-6</v>
      </c>
      <c r="T98" s="33">
        <f t="shared" si="36"/>
        <v>0.32235621361094402</v>
      </c>
      <c r="U98" s="33">
        <f t="shared" si="78"/>
        <v>0.10156146679325791</v>
      </c>
      <c r="V98" s="33">
        <f t="shared" si="79"/>
        <v>10.15614667932579</v>
      </c>
      <c r="W98" s="13"/>
      <c r="X98" s="13"/>
      <c r="Y98" s="24">
        <v>3.21</v>
      </c>
      <c r="Z98" s="24">
        <f t="shared" si="92"/>
        <v>3.1653954003199329</v>
      </c>
      <c r="AA98" s="24">
        <f t="shared" si="93"/>
        <v>1.5826977001599665</v>
      </c>
      <c r="AC98" s="13"/>
      <c r="AD98" s="33">
        <f t="shared" si="81"/>
        <v>0.47244014320912037</v>
      </c>
      <c r="AE98" s="13"/>
      <c r="AF98" s="33">
        <f t="shared" si="82"/>
        <v>15.40626781344848</v>
      </c>
      <c r="AG98" s="13"/>
      <c r="AH98" s="15">
        <f t="shared" si="94"/>
        <v>1.5409614963122937</v>
      </c>
      <c r="BG98" s="15">
        <f t="shared" si="95"/>
        <v>1.5399781758028266</v>
      </c>
      <c r="BH98" s="13">
        <f t="shared" si="96"/>
        <v>0.10905424784633129</v>
      </c>
    </row>
    <row r="99" spans="1:60" x14ac:dyDescent="0.25">
      <c r="A99" s="24">
        <v>4</v>
      </c>
      <c r="B99" s="13"/>
      <c r="C99" s="24">
        <v>4.8178637120959884</v>
      </c>
      <c r="D99" s="24">
        <f t="shared" si="83"/>
        <v>2.4089318560479942</v>
      </c>
      <c r="E99" s="33">
        <f t="shared" si="84"/>
        <v>4.8544688437187808</v>
      </c>
      <c r="F99" s="33">
        <f t="shared" si="85"/>
        <v>4.9319678437187813</v>
      </c>
      <c r="G99" s="24">
        <v>7523.25</v>
      </c>
      <c r="H99" s="24">
        <f t="shared" si="86"/>
        <v>7.52325</v>
      </c>
      <c r="I99" s="24">
        <f t="shared" si="87"/>
        <v>178.6771875</v>
      </c>
      <c r="J99" s="33">
        <f t="shared" si="88"/>
        <v>2.7602672242189739E-2</v>
      </c>
      <c r="K99" s="33">
        <f t="shared" si="80"/>
        <v>27.60267224218974</v>
      </c>
      <c r="L99" s="24">
        <v>2203866.6999999993</v>
      </c>
      <c r="M99" s="33">
        <f t="shared" si="89"/>
        <v>1273.8349525999995</v>
      </c>
      <c r="N99" s="33">
        <f t="shared" si="90"/>
        <v>3650.8422038401095</v>
      </c>
      <c r="O99" s="33">
        <f t="shared" si="34"/>
        <v>1.9863489462536033E-5</v>
      </c>
      <c r="P99" s="33">
        <f t="shared" si="91"/>
        <v>0.14503693129071968</v>
      </c>
      <c r="Q99" s="15"/>
      <c r="R99" s="33">
        <f t="shared" si="76"/>
        <v>26668.236940298506</v>
      </c>
      <c r="S99" s="33">
        <f t="shared" si="77"/>
        <v>7.349451409989525E-6</v>
      </c>
      <c r="T99" s="33">
        <f t="shared" si="36"/>
        <v>0.3919938231656232</v>
      </c>
      <c r="U99" s="33">
        <f t="shared" si="78"/>
        <v>0.136898521338818</v>
      </c>
      <c r="V99" s="33">
        <f t="shared" si="79"/>
        <v>13.6898521338818</v>
      </c>
      <c r="W99" s="13"/>
      <c r="X99" s="13"/>
      <c r="Y99" s="24">
        <v>4.22</v>
      </c>
      <c r="Z99" s="24">
        <f t="shared" si="92"/>
        <v>4.1753954003199327</v>
      </c>
      <c r="AA99" s="24">
        <f t="shared" si="93"/>
        <v>2.0876977001599664</v>
      </c>
      <c r="AC99" s="13"/>
      <c r="AD99" s="33">
        <f t="shared" si="81"/>
        <v>0.42329913055268614</v>
      </c>
      <c r="AE99" s="13"/>
      <c r="AF99" s="33">
        <f t="shared" si="82"/>
        <v>14.394248979077439</v>
      </c>
      <c r="AG99" s="13"/>
      <c r="AH99" s="15">
        <f t="shared" si="94"/>
        <v>2.175553969360795</v>
      </c>
      <c r="BG99" s="15">
        <f t="shared" si="95"/>
        <v>2.0373881371312073</v>
      </c>
      <c r="BH99" s="13">
        <f t="shared" si="96"/>
        <v>0.1431336120654732</v>
      </c>
    </row>
    <row r="100" spans="1:60" x14ac:dyDescent="0.25">
      <c r="A100" s="24">
        <v>5</v>
      </c>
      <c r="B100" s="13"/>
      <c r="C100" s="24">
        <v>6.4486947684105624</v>
      </c>
      <c r="D100" s="24">
        <f t="shared" si="83"/>
        <v>3.2243473842052812</v>
      </c>
      <c r="E100" s="33">
        <f t="shared" si="84"/>
        <v>6.4852999000333549</v>
      </c>
      <c r="F100" s="33">
        <f t="shared" si="85"/>
        <v>6.5627989000333553</v>
      </c>
      <c r="G100" s="24">
        <v>7556.39</v>
      </c>
      <c r="H100" s="24">
        <f t="shared" si="86"/>
        <v>7.5563900000000004</v>
      </c>
      <c r="I100" s="24">
        <f t="shared" si="87"/>
        <v>179.46426250000002</v>
      </c>
      <c r="J100" s="33">
        <f t="shared" si="88"/>
        <v>3.6568834422025139E-2</v>
      </c>
      <c r="K100" s="33">
        <f t="shared" si="80"/>
        <v>36.568834422025141</v>
      </c>
      <c r="L100" s="24">
        <v>2534666.2199999988</v>
      </c>
      <c r="M100" s="33">
        <f t="shared" si="89"/>
        <v>1465.0370751599994</v>
      </c>
      <c r="N100" s="33">
        <f t="shared" si="90"/>
        <v>4198.8321746609627</v>
      </c>
      <c r="O100" s="33">
        <f t="shared" si="34"/>
        <v>2.1365951952156313E-5</v>
      </c>
      <c r="P100" s="33">
        <f t="shared" si="91"/>
        <v>0.17942409299794826</v>
      </c>
      <c r="Q100" s="15"/>
      <c r="R100" s="33">
        <f t="shared" si="76"/>
        <v>26785.710820895525</v>
      </c>
      <c r="S100" s="33">
        <f t="shared" si="77"/>
        <v>8.4593095575724582E-6</v>
      </c>
      <c r="T100" s="33">
        <f t="shared" si="36"/>
        <v>0.45317723910714708</v>
      </c>
      <c r="U100" s="33">
        <f t="shared" si="78"/>
        <v>0.15675642146429264</v>
      </c>
      <c r="V100" s="33">
        <f t="shared" si="79"/>
        <v>15.675642146429263</v>
      </c>
      <c r="W100" s="13"/>
      <c r="X100" s="13"/>
      <c r="Y100" s="24">
        <v>5.3</v>
      </c>
      <c r="Z100" s="24">
        <f t="shared" si="92"/>
        <v>5.2553954003199328</v>
      </c>
      <c r="AA100" s="24">
        <f t="shared" si="93"/>
        <v>2.6276977001599664</v>
      </c>
      <c r="AC100" s="13"/>
      <c r="AD100" s="33">
        <f t="shared" si="81"/>
        <v>0.40039284155828869</v>
      </c>
      <c r="AE100" s="13"/>
      <c r="AF100" s="33">
        <f t="shared" si="82"/>
        <v>14.645177558122111</v>
      </c>
      <c r="AG100" s="13"/>
      <c r="AH100" s="15">
        <f t="shared" si="94"/>
        <v>2.6913613949692241</v>
      </c>
      <c r="BG100" s="15">
        <f t="shared" si="95"/>
        <v>2.5053153960238479</v>
      </c>
      <c r="BH100" s="13">
        <f t="shared" si="96"/>
        <v>0.1749743733340475</v>
      </c>
    </row>
    <row r="101" spans="1:60" x14ac:dyDescent="0.25">
      <c r="A101" s="24">
        <v>6</v>
      </c>
      <c r="B101" s="13"/>
      <c r="C101" s="24">
        <v>8.0106977674108553</v>
      </c>
      <c r="D101" s="24">
        <f t="shared" si="83"/>
        <v>4.0053488837054276</v>
      </c>
      <c r="E101" s="33">
        <f t="shared" si="84"/>
        <v>8.0473028990336477</v>
      </c>
      <c r="F101" s="33">
        <f t="shared" si="85"/>
        <v>8.1248018990336472</v>
      </c>
      <c r="G101" s="24">
        <v>7594.15</v>
      </c>
      <c r="H101" s="24">
        <f t="shared" si="86"/>
        <v>7.59415</v>
      </c>
      <c r="I101" s="24">
        <f t="shared" si="87"/>
        <v>180.3610625</v>
      </c>
      <c r="J101" s="33">
        <f t="shared" si="88"/>
        <v>4.5047427567874561E-2</v>
      </c>
      <c r="K101" s="33">
        <f t="shared" si="80"/>
        <v>45.047427567874564</v>
      </c>
      <c r="L101" s="24">
        <v>2843853.3599999985</v>
      </c>
      <c r="M101" s="33">
        <f t="shared" si="89"/>
        <v>1643.7472420799991</v>
      </c>
      <c r="N101" s="33">
        <f t="shared" si="90"/>
        <v>4711.0198943613505</v>
      </c>
      <c r="O101" s="33">
        <f t="shared" ref="O101:O108" si="97">SQRT((4*$F$8*F101)/(2*3.14*$F$10*N101))</f>
        <v>2.2443515177581247E-5</v>
      </c>
      <c r="P101" s="33">
        <f t="shared" si="91"/>
        <v>0.21146369300197235</v>
      </c>
      <c r="Q101" s="15"/>
      <c r="R101" s="33">
        <f t="shared" si="76"/>
        <v>26919.561567164179</v>
      </c>
      <c r="S101" s="33">
        <f t="shared" si="77"/>
        <v>9.3888922826803773E-6</v>
      </c>
      <c r="T101" s="33">
        <f t="shared" ref="T101:T164" si="98">2*S101*R101</f>
        <v>0.50548972770217404</v>
      </c>
      <c r="U101" s="33">
        <f t="shared" si="78"/>
        <v>0.17500358921549961</v>
      </c>
      <c r="V101" s="33">
        <f t="shared" si="79"/>
        <v>17.50035892154996</v>
      </c>
      <c r="W101" s="13"/>
      <c r="X101" s="13"/>
      <c r="Y101" s="24">
        <v>6.13</v>
      </c>
      <c r="Z101" s="24">
        <f t="shared" si="92"/>
        <v>6.0853954003199329</v>
      </c>
      <c r="AA101" s="24">
        <f t="shared" si="93"/>
        <v>3.0426977001599664</v>
      </c>
      <c r="AC101" s="13"/>
      <c r="AD101" s="33">
        <f t="shared" si="81"/>
        <v>0.3744950015977449</v>
      </c>
      <c r="AE101" s="13"/>
      <c r="AF101" s="33">
        <f t="shared" si="82"/>
        <v>14.3887475763113</v>
      </c>
      <c r="AG101" s="13"/>
      <c r="AH101" s="15">
        <f t="shared" si="94"/>
        <v>3.1719553950295851</v>
      </c>
      <c r="BG101" s="15">
        <f t="shared" si="95"/>
        <v>2.923927079593454</v>
      </c>
      <c r="BH101" s="13">
        <f t="shared" si="96"/>
        <v>0.20331455442368371</v>
      </c>
    </row>
    <row r="102" spans="1:60" x14ac:dyDescent="0.25">
      <c r="A102" s="24">
        <v>7</v>
      </c>
      <c r="B102" s="13"/>
      <c r="C102" s="24">
        <v>12.04225191602796</v>
      </c>
      <c r="D102" s="24">
        <f t="shared" si="83"/>
        <v>6.0211259580139798</v>
      </c>
      <c r="E102" s="33">
        <f t="shared" si="84"/>
        <v>12.078857047650752</v>
      </c>
      <c r="F102" s="33">
        <f t="shared" si="85"/>
        <v>12.156356047650752</v>
      </c>
      <c r="G102" s="24">
        <v>7629.6</v>
      </c>
      <c r="H102" s="24">
        <f t="shared" si="86"/>
        <v>7.6295999999999999</v>
      </c>
      <c r="I102" s="24">
        <f t="shared" si="87"/>
        <v>181.203</v>
      </c>
      <c r="J102" s="33">
        <f t="shared" si="88"/>
        <v>6.7086946947074552E-2</v>
      </c>
      <c r="K102" s="33">
        <f t="shared" si="80"/>
        <v>67.086946947074551</v>
      </c>
      <c r="L102" s="24">
        <v>3206771.3399999989</v>
      </c>
      <c r="M102" s="33">
        <f t="shared" si="89"/>
        <v>1853.5138345199994</v>
      </c>
      <c r="N102" s="33">
        <f t="shared" si="90"/>
        <v>5312.2160909899412</v>
      </c>
      <c r="O102" s="33">
        <f t="shared" si="97"/>
        <v>2.5852693456004647E-5</v>
      </c>
      <c r="P102" s="33">
        <f t="shared" si="91"/>
        <v>0.27467018834483647</v>
      </c>
      <c r="Q102" s="15"/>
      <c r="R102" s="33">
        <f t="shared" si="76"/>
        <v>27045.223880597016</v>
      </c>
      <c r="S102" s="33">
        <f t="shared" si="77"/>
        <v>1.1457724427073652E-5</v>
      </c>
      <c r="T102" s="33">
        <f t="shared" si="98"/>
        <v>0.61975344458478421</v>
      </c>
      <c r="U102" s="33">
        <f t="shared" si="78"/>
        <v>0.1964197491743106</v>
      </c>
      <c r="V102" s="33">
        <f t="shared" si="79"/>
        <v>19.64197491743106</v>
      </c>
      <c r="W102" s="13"/>
      <c r="X102" s="13"/>
      <c r="Y102" s="24">
        <v>7.73</v>
      </c>
      <c r="Z102" s="24">
        <f t="shared" si="92"/>
        <v>7.6853954003199334</v>
      </c>
      <c r="AA102" s="24">
        <f t="shared" si="93"/>
        <v>3.8426977001599667</v>
      </c>
      <c r="AC102" s="13"/>
      <c r="AD102" s="33">
        <f t="shared" si="81"/>
        <v>0.31610605062053759</v>
      </c>
      <c r="AE102" s="13"/>
      <c r="AF102" s="33">
        <f t="shared" si="82"/>
        <v>13.990224870474938</v>
      </c>
      <c r="AG102" s="13"/>
      <c r="AH102" s="15">
        <f t="shared" si="94"/>
        <v>4.1200528251725475</v>
      </c>
      <c r="BG102" s="15">
        <f t="shared" si="95"/>
        <v>3.9138777566471337</v>
      </c>
      <c r="BH102" s="13">
        <f t="shared" si="96"/>
        <v>0.2699009304054808</v>
      </c>
    </row>
    <row r="103" spans="1:60" x14ac:dyDescent="0.25">
      <c r="A103" s="24">
        <v>8</v>
      </c>
      <c r="B103" s="13"/>
      <c r="C103" s="24">
        <v>18.118900699766687</v>
      </c>
      <c r="D103" s="24">
        <f t="shared" si="83"/>
        <v>9.0594503498833436</v>
      </c>
      <c r="E103" s="33">
        <f t="shared" si="84"/>
        <v>18.15550583138948</v>
      </c>
      <c r="F103" s="33">
        <f t="shared" si="85"/>
        <v>18.233004831389479</v>
      </c>
      <c r="G103" s="24">
        <v>7698.96</v>
      </c>
      <c r="H103" s="24">
        <f t="shared" si="86"/>
        <v>7.6989600000000005</v>
      </c>
      <c r="I103" s="24">
        <f t="shared" si="87"/>
        <v>182.8503</v>
      </c>
      <c r="J103" s="33">
        <f t="shared" si="88"/>
        <v>9.9715476711766282E-2</v>
      </c>
      <c r="K103" s="33">
        <f t="shared" si="80"/>
        <v>99.715476711766286</v>
      </c>
      <c r="L103" s="24">
        <v>3673399.689999999</v>
      </c>
      <c r="M103" s="33">
        <f t="shared" si="89"/>
        <v>2123.2250208199994</v>
      </c>
      <c r="N103" s="33">
        <f t="shared" si="90"/>
        <v>6085.214963239463</v>
      </c>
      <c r="O103" s="33">
        <f t="shared" si="97"/>
        <v>2.9582380483824151E-5</v>
      </c>
      <c r="P103" s="33">
        <f t="shared" si="91"/>
        <v>0.36003028873681958</v>
      </c>
      <c r="Q103" s="15"/>
      <c r="R103" s="33">
        <f t="shared" si="76"/>
        <v>27291.089552238809</v>
      </c>
      <c r="S103" s="33">
        <f t="shared" si="77"/>
        <v>1.396884967009946E-5</v>
      </c>
      <c r="T103" s="33">
        <f t="shared" si="98"/>
        <v>0.76245025457689186</v>
      </c>
      <c r="U103" s="33">
        <f t="shared" si="78"/>
        <v>0.22297442363345532</v>
      </c>
      <c r="V103" s="33">
        <f t="shared" si="79"/>
        <v>22.297442363345532</v>
      </c>
      <c r="W103" s="13"/>
      <c r="X103" s="13"/>
      <c r="Y103" s="24">
        <v>10.23</v>
      </c>
      <c r="Z103" s="24">
        <f t="shared" si="92"/>
        <v>10.185395400319933</v>
      </c>
      <c r="AA103" s="24">
        <f t="shared" si="93"/>
        <v>5.0926977001599667</v>
      </c>
      <c r="AC103" s="13"/>
      <c r="AD103" s="33">
        <f t="shared" si="81"/>
        <v>0.27931203590713183</v>
      </c>
      <c r="AE103" s="13"/>
      <c r="AF103" s="33">
        <f t="shared" si="82"/>
        <v>14.145192389306736</v>
      </c>
      <c r="AG103" s="13"/>
      <c r="AH103" s="15">
        <f t="shared" si="94"/>
        <v>5.4004543310522939</v>
      </c>
      <c r="BG103" s="15">
        <f t="shared" si="95"/>
        <v>5.2482938309822247</v>
      </c>
      <c r="BH103" s="13">
        <f t="shared" si="96"/>
        <v>0.35891246072539346</v>
      </c>
    </row>
    <row r="104" spans="1:60" x14ac:dyDescent="0.25">
      <c r="A104" s="24">
        <v>9</v>
      </c>
      <c r="B104" s="13"/>
      <c r="C104" s="24">
        <v>24.463067310896271</v>
      </c>
      <c r="D104" s="24">
        <f t="shared" si="83"/>
        <v>12.231533655448136</v>
      </c>
      <c r="E104" s="33">
        <f t="shared" si="84"/>
        <v>24.499672442519064</v>
      </c>
      <c r="F104" s="33">
        <f t="shared" si="85"/>
        <v>24.577171442519063</v>
      </c>
      <c r="G104" s="24">
        <v>7799.34</v>
      </c>
      <c r="H104" s="24">
        <f t="shared" si="86"/>
        <v>7.7993399999999999</v>
      </c>
      <c r="I104" s="24">
        <f t="shared" si="87"/>
        <v>185.23432500000001</v>
      </c>
      <c r="J104" s="33">
        <f t="shared" si="88"/>
        <v>0.13268151808537137</v>
      </c>
      <c r="K104" s="33">
        <f t="shared" si="80"/>
        <v>132.68151808537138</v>
      </c>
      <c r="L104" s="24">
        <v>4046765.3599999985</v>
      </c>
      <c r="M104" s="33">
        <f t="shared" si="89"/>
        <v>2339.0303780799986</v>
      </c>
      <c r="N104" s="33">
        <f t="shared" si="90"/>
        <v>6703.7184078901919</v>
      </c>
      <c r="O104" s="33">
        <f t="shared" si="97"/>
        <v>3.2722767388802835E-5</v>
      </c>
      <c r="P104" s="33">
        <f t="shared" si="91"/>
        <v>0.43872843620285285</v>
      </c>
      <c r="Q104" s="15"/>
      <c r="R104" s="33">
        <f t="shared" si="76"/>
        <v>27646.914179104479</v>
      </c>
      <c r="S104" s="33">
        <f t="shared" si="77"/>
        <v>1.6113303030491104E-5</v>
      </c>
      <c r="T104" s="33">
        <f t="shared" si="98"/>
        <v>0.89096621205178339</v>
      </c>
      <c r="U104" s="33">
        <f t="shared" si="78"/>
        <v>0.24247618972814183</v>
      </c>
      <c r="V104" s="33">
        <f t="shared" si="79"/>
        <v>24.247618972814184</v>
      </c>
      <c r="W104" s="13"/>
      <c r="X104" s="13"/>
      <c r="Y104" s="24">
        <v>12.83</v>
      </c>
      <c r="Z104" s="24">
        <f t="shared" si="92"/>
        <v>12.785395400319933</v>
      </c>
      <c r="AA104" s="24">
        <f t="shared" si="93"/>
        <v>6.3926977001599665</v>
      </c>
      <c r="AC104" s="13"/>
      <c r="AD104" s="33">
        <f t="shared" si="81"/>
        <v>0.26010713702800048</v>
      </c>
      <c r="AE104" s="13"/>
      <c r="AF104" s="33">
        <f t="shared" si="82"/>
        <v>14.57096730608135</v>
      </c>
      <c r="AG104" s="13"/>
      <c r="AH104" s="15">
        <f t="shared" si="94"/>
        <v>6.5809265430427928</v>
      </c>
      <c r="BG104" s="15">
        <f t="shared" si="95"/>
        <v>6.5142281264704556</v>
      </c>
      <c r="BH104" s="13">
        <f t="shared" si="96"/>
        <v>0.4427535796273756</v>
      </c>
    </row>
    <row r="105" spans="1:60" x14ac:dyDescent="0.25">
      <c r="A105" s="24">
        <v>10</v>
      </c>
      <c r="B105" s="13"/>
      <c r="C105" s="24">
        <v>30.080400199933603</v>
      </c>
      <c r="D105" s="24">
        <f t="shared" si="83"/>
        <v>15.040200099966802</v>
      </c>
      <c r="E105" s="33">
        <f t="shared" si="84"/>
        <v>30.117005331556395</v>
      </c>
      <c r="F105" s="33">
        <f t="shared" si="85"/>
        <v>30.194504331556395</v>
      </c>
      <c r="G105" s="24">
        <v>7845.39</v>
      </c>
      <c r="H105" s="24">
        <f t="shared" si="86"/>
        <v>7.8453900000000001</v>
      </c>
      <c r="I105" s="24">
        <f t="shared" si="87"/>
        <v>186.3280125</v>
      </c>
      <c r="J105" s="33">
        <f t="shared" si="88"/>
        <v>0.16205026783912266</v>
      </c>
      <c r="K105" s="33">
        <f t="shared" si="80"/>
        <v>162.05026783912265</v>
      </c>
      <c r="L105" s="24">
        <v>4435515.0799999991</v>
      </c>
      <c r="M105" s="33">
        <f t="shared" si="89"/>
        <v>2563.7277162399996</v>
      </c>
      <c r="N105" s="33">
        <f t="shared" si="90"/>
        <v>7347.7064877985786</v>
      </c>
      <c r="O105" s="33">
        <f t="shared" si="97"/>
        <v>3.4644157940955022E-5</v>
      </c>
      <c r="P105" s="33">
        <f t="shared" si="91"/>
        <v>0.50911020813414776</v>
      </c>
      <c r="Q105" s="15"/>
      <c r="R105" s="33">
        <f t="shared" si="76"/>
        <v>27810.151119402984</v>
      </c>
      <c r="S105" s="33">
        <f t="shared" si="77"/>
        <v>1.7807552576211792E-5</v>
      </c>
      <c r="T105" s="33">
        <f t="shared" si="98"/>
        <v>0.99046145642232775</v>
      </c>
      <c r="U105" s="33">
        <f t="shared" si="78"/>
        <v>0.26420951314687841</v>
      </c>
      <c r="V105" s="33">
        <f t="shared" si="79"/>
        <v>26.420951314687841</v>
      </c>
      <c r="W105" s="13"/>
      <c r="X105" s="13"/>
      <c r="Y105" s="24">
        <v>15.08</v>
      </c>
      <c r="Z105" s="24">
        <f t="shared" si="92"/>
        <v>15.035395400319933</v>
      </c>
      <c r="AA105" s="24">
        <f t="shared" si="93"/>
        <v>7.5176977001599665</v>
      </c>
      <c r="AC105" s="13"/>
      <c r="AD105" s="33">
        <f t="shared" si="81"/>
        <v>0.24897569496788166</v>
      </c>
      <c r="AE105" s="13"/>
      <c r="AF105" s="33">
        <f t="shared" si="82"/>
        <v>14.766346421753724</v>
      </c>
      <c r="AG105" s="13"/>
      <c r="AH105" s="15">
        <f t="shared" si="94"/>
        <v>7.6366531220122162</v>
      </c>
      <c r="BG105" s="15">
        <f t="shared" si="95"/>
        <v>7.5606451021920931</v>
      </c>
      <c r="BH105" s="13">
        <f t="shared" si="96"/>
        <v>0.51170117322424158</v>
      </c>
    </row>
    <row r="106" spans="1:60" x14ac:dyDescent="0.25">
      <c r="A106" s="24">
        <v>11</v>
      </c>
      <c r="B106" s="13"/>
      <c r="C106" s="24">
        <v>36.063093968676398</v>
      </c>
      <c r="D106" s="24">
        <f t="shared" si="83"/>
        <v>18.031546984338199</v>
      </c>
      <c r="E106" s="33">
        <f t="shared" si="84"/>
        <v>36.09969910029919</v>
      </c>
      <c r="F106" s="33">
        <f t="shared" si="85"/>
        <v>36.177198100299194</v>
      </c>
      <c r="G106" s="24">
        <v>7893.94</v>
      </c>
      <c r="H106" s="24">
        <f t="shared" si="86"/>
        <v>7.8939399999999997</v>
      </c>
      <c r="I106" s="24">
        <f t="shared" si="87"/>
        <v>187.481075</v>
      </c>
      <c r="J106" s="33">
        <f t="shared" ref="J106:J108" si="99">F106/I106</f>
        <v>0.19296453308846875</v>
      </c>
      <c r="K106" s="33">
        <f t="shared" si="80"/>
        <v>192.96453308846876</v>
      </c>
      <c r="L106" s="24">
        <v>4795578.2399999984</v>
      </c>
      <c r="M106" s="33">
        <f t="shared" si="89"/>
        <v>2771.8442227199989</v>
      </c>
      <c r="N106" s="33">
        <f t="shared" si="90"/>
        <v>7944.1734976118451</v>
      </c>
      <c r="O106" s="33">
        <f t="shared" si="97"/>
        <v>3.6469941033068729E-5</v>
      </c>
      <c r="P106" s="33">
        <f t="shared" si="91"/>
        <v>0.57944707802874273</v>
      </c>
      <c r="Q106" s="15"/>
      <c r="R106" s="33">
        <f t="shared" si="76"/>
        <v>27982.249999999996</v>
      </c>
      <c r="S106" s="33">
        <f t="shared" si="77"/>
        <v>1.9432026996085793E-5</v>
      </c>
      <c r="T106" s="33">
        <f t="shared" si="98"/>
        <v>1.0875036748224431</v>
      </c>
      <c r="U106" s="33">
        <f t="shared" si="78"/>
        <v>0.28390045466722102</v>
      </c>
      <c r="V106" s="33">
        <f t="shared" si="79"/>
        <v>28.390045466722103</v>
      </c>
      <c r="W106" s="13"/>
      <c r="X106" s="13"/>
      <c r="Y106" s="24">
        <v>17.04</v>
      </c>
      <c r="Z106" s="24">
        <f t="shared" si="92"/>
        <v>16.995395400319932</v>
      </c>
      <c r="AA106" s="24">
        <f t="shared" si="93"/>
        <v>8.4976977001599661</v>
      </c>
      <c r="AC106" s="13"/>
      <c r="AD106" s="33">
        <f t="shared" si="81"/>
        <v>0.23489098510615969</v>
      </c>
      <c r="AE106" s="13"/>
      <c r="AF106" s="33">
        <f t="shared" si="82"/>
        <v>14.665183452246952</v>
      </c>
      <c r="AG106" s="13"/>
      <c r="AH106" s="15">
        <f t="shared" si="94"/>
        <v>8.6917061704311411</v>
      </c>
      <c r="BG106" s="15">
        <f t="shared" si="95"/>
        <v>8.617362956491883</v>
      </c>
      <c r="BH106" s="13">
        <f t="shared" si="96"/>
        <v>0.58105159920659877</v>
      </c>
    </row>
    <row r="107" spans="1:60" x14ac:dyDescent="0.25">
      <c r="A107" s="24">
        <v>12</v>
      </c>
      <c r="B107" s="13"/>
      <c r="C107" s="24">
        <v>41.937000333222272</v>
      </c>
      <c r="D107" s="24">
        <f t="shared" si="83"/>
        <v>20.968500166611136</v>
      </c>
      <c r="E107" s="33">
        <f t="shared" si="84"/>
        <v>41.973605464845065</v>
      </c>
      <c r="F107" s="33">
        <f t="shared" si="85"/>
        <v>42.051104464845068</v>
      </c>
      <c r="G107" s="24">
        <v>7936.33</v>
      </c>
      <c r="H107" s="24">
        <f t="shared" si="86"/>
        <v>7.9363299999999999</v>
      </c>
      <c r="I107" s="24">
        <f t="shared" si="87"/>
        <v>188.48783749999998</v>
      </c>
      <c r="J107" s="33">
        <f t="shared" si="99"/>
        <v>0.22309717710483612</v>
      </c>
      <c r="K107" s="33">
        <f t="shared" si="80"/>
        <v>223.09717710483611</v>
      </c>
      <c r="L107" s="24">
        <v>5115645.4799999986</v>
      </c>
      <c r="M107" s="33">
        <f t="shared" si="89"/>
        <v>2956.8430874399992</v>
      </c>
      <c r="N107" s="33">
        <f t="shared" si="90"/>
        <v>8474.3847793824825</v>
      </c>
      <c r="O107" s="33">
        <f t="shared" si="97"/>
        <v>3.8069447254931927E-5</v>
      </c>
      <c r="P107" s="33">
        <f t="shared" si="91"/>
        <v>0.64523028875339872</v>
      </c>
      <c r="Q107" s="15"/>
      <c r="R107" s="33">
        <f t="shared" si="76"/>
        <v>28132.51305970149</v>
      </c>
      <c r="S107" s="33">
        <f t="shared" si="77"/>
        <v>2.089423121176181E-5</v>
      </c>
      <c r="T107" s="33">
        <f t="shared" si="98"/>
        <v>1.1756144648746232</v>
      </c>
      <c r="U107" s="33">
        <f t="shared" si="78"/>
        <v>0.30123099068321924</v>
      </c>
      <c r="V107" s="33">
        <f t="shared" si="79"/>
        <v>30.123099068321924</v>
      </c>
      <c r="W107" s="13"/>
      <c r="X107" s="13"/>
      <c r="Y107" s="24">
        <v>19.510000000000002</v>
      </c>
      <c r="Z107" s="24">
        <f t="shared" si="92"/>
        <v>19.465395400319935</v>
      </c>
      <c r="AA107" s="24">
        <f t="shared" si="93"/>
        <v>9.7326977001599673</v>
      </c>
      <c r="AC107" s="13"/>
      <c r="AD107" s="33">
        <f t="shared" si="81"/>
        <v>0.2314492763988292</v>
      </c>
      <c r="AE107" s="13"/>
      <c r="AF107" s="33">
        <f t="shared" si="82"/>
        <v>15.084068230838614</v>
      </c>
      <c r="AG107" s="13"/>
      <c r="AH107" s="15">
        <f t="shared" si="94"/>
        <v>9.6784543313009799</v>
      </c>
      <c r="BG107" s="15">
        <f t="shared" si="95"/>
        <v>9.6086580358678457</v>
      </c>
      <c r="BH107" s="13">
        <f t="shared" si="96"/>
        <v>0.64588767568511607</v>
      </c>
    </row>
    <row r="108" spans="1:60" x14ac:dyDescent="0.25">
      <c r="A108" s="25">
        <v>13</v>
      </c>
      <c r="B108" s="2"/>
      <c r="C108" s="25">
        <v>47.981440519826506</v>
      </c>
      <c r="D108" s="24">
        <f t="shared" si="83"/>
        <v>23.990720259913253</v>
      </c>
      <c r="E108" s="25">
        <f t="shared" si="84"/>
        <v>48.018045651449299</v>
      </c>
      <c r="F108" s="25">
        <f t="shared" si="85"/>
        <v>48.095544651449302</v>
      </c>
      <c r="G108" s="25">
        <v>7996.44</v>
      </c>
      <c r="H108" s="25">
        <f t="shared" si="86"/>
        <v>7.9964399999999998</v>
      </c>
      <c r="I108" s="25">
        <f t="shared" si="87"/>
        <v>189.91544999999999</v>
      </c>
      <c r="J108" s="25">
        <f t="shared" si="99"/>
        <v>0.25324714051147129</v>
      </c>
      <c r="K108" s="25">
        <f t="shared" si="80"/>
        <v>253.24714051147129</v>
      </c>
      <c r="L108" s="25">
        <v>5451629.3499999978</v>
      </c>
      <c r="M108" s="25">
        <f t="shared" si="89"/>
        <v>3151.0417642999987</v>
      </c>
      <c r="N108" s="25">
        <f t="shared" si="90"/>
        <v>9030.9629482914843</v>
      </c>
      <c r="O108" s="25">
        <f t="shared" si="97"/>
        <v>3.9439132228839003E-5</v>
      </c>
      <c r="P108" s="25">
        <f t="shared" si="91"/>
        <v>0.71234668374282717</v>
      </c>
      <c r="Q108" s="15"/>
      <c r="R108" s="25">
        <f t="shared" si="76"/>
        <v>28345.589552238805</v>
      </c>
      <c r="S108" s="25">
        <f t="shared" si="77"/>
        <v>2.2261356971790898E-5</v>
      </c>
      <c r="T108" s="25">
        <f t="shared" si="98"/>
        <v>1.2620225751965091</v>
      </c>
      <c r="U108" s="25">
        <f t="shared" si="78"/>
        <v>0.31860205029950406</v>
      </c>
      <c r="V108" s="33">
        <f t="shared" si="79"/>
        <v>31.860205029950407</v>
      </c>
      <c r="W108" s="13"/>
      <c r="X108" s="13"/>
      <c r="Y108" s="25">
        <v>21.44</v>
      </c>
      <c r="Z108" s="25">
        <f>Y108-$Y$94</f>
        <v>21.395395400319934</v>
      </c>
      <c r="AA108" s="25">
        <f>Z108/2</f>
        <v>10.697697700159967</v>
      </c>
      <c r="AB108" s="15"/>
      <c r="AC108" s="13"/>
      <c r="AD108" s="25">
        <f t="shared" si="81"/>
        <v>0.22242596019416541</v>
      </c>
      <c r="AE108" s="2"/>
      <c r="AF108" s="25">
        <f t="shared" si="82"/>
        <v>15.017544047445964</v>
      </c>
      <c r="AG108" s="2"/>
      <c r="AH108" s="2">
        <f t="shared" si="94"/>
        <v>10.685200256142407</v>
      </c>
      <c r="AO108" s="2"/>
      <c r="AP108" s="2"/>
      <c r="AQ108" s="2"/>
      <c r="AR108" s="2"/>
      <c r="AS108" s="2"/>
      <c r="AW108" s="2"/>
      <c r="AX108" s="2"/>
      <c r="AY108" s="2"/>
      <c r="AZ108" s="2"/>
      <c r="BA108" s="2"/>
      <c r="BG108" s="2">
        <f t="shared" si="95"/>
        <v>10.589471991085858</v>
      </c>
      <c r="BH108" s="2">
        <f t="shared" si="96"/>
        <v>0.70985070991465538</v>
      </c>
    </row>
    <row r="109" spans="1:60" x14ac:dyDescent="0.25">
      <c r="H109" s="6"/>
      <c r="J109" s="4"/>
      <c r="O109" s="33"/>
      <c r="Q109" s="15"/>
      <c r="R109" s="33"/>
      <c r="S109" s="33"/>
      <c r="T109" s="33"/>
      <c r="U109" s="33"/>
      <c r="V109" s="33"/>
      <c r="AF109" s="33"/>
      <c r="AG109" s="15"/>
      <c r="AH109" s="15"/>
    </row>
    <row r="110" spans="1:60" x14ac:dyDescent="0.25">
      <c r="H110" s="6"/>
      <c r="J110" s="4"/>
      <c r="O110" s="33"/>
      <c r="Q110" s="15"/>
      <c r="R110" s="33"/>
      <c r="S110" s="33"/>
      <c r="T110" s="33"/>
      <c r="U110" s="33"/>
      <c r="V110" s="33"/>
      <c r="AF110" s="33"/>
      <c r="AG110" s="15"/>
      <c r="AH110" s="15"/>
    </row>
    <row r="111" spans="1:60" x14ac:dyDescent="0.25">
      <c r="H111" s="6"/>
      <c r="J111" s="4"/>
      <c r="O111" s="33"/>
      <c r="Q111" s="15"/>
      <c r="R111" s="33"/>
      <c r="S111" s="33"/>
      <c r="T111" s="33"/>
      <c r="U111" s="33"/>
      <c r="V111" s="33"/>
      <c r="AF111" s="33"/>
      <c r="AG111" s="15"/>
      <c r="AH111" s="15"/>
    </row>
    <row r="112" spans="1:60" x14ac:dyDescent="0.25">
      <c r="H112" s="6"/>
      <c r="J112" s="4"/>
      <c r="O112" s="33"/>
      <c r="Q112" s="15"/>
      <c r="R112" s="33"/>
      <c r="S112" s="33"/>
      <c r="T112" s="33"/>
      <c r="U112" s="33"/>
      <c r="V112" s="33"/>
      <c r="AF112" s="33"/>
      <c r="AG112" s="15"/>
      <c r="AH112" s="15"/>
    </row>
    <row r="113" spans="1:60" x14ac:dyDescent="0.25">
      <c r="M113" s="7"/>
      <c r="N113" s="7"/>
      <c r="O113" s="33"/>
      <c r="P113" s="7"/>
      <c r="Q113" s="15"/>
      <c r="R113" s="33"/>
      <c r="S113" s="33"/>
      <c r="T113" s="33"/>
      <c r="U113" s="33"/>
      <c r="V113" s="33"/>
      <c r="AF113" s="33"/>
      <c r="AG113" s="15"/>
      <c r="AH113" s="15"/>
    </row>
    <row r="114" spans="1:60" x14ac:dyDescent="0.25">
      <c r="H114">
        <f>AVERAGE(H121,H139,H157,H175,H193)</f>
        <v>5.4914800000000001</v>
      </c>
      <c r="M114" s="7"/>
      <c r="N114" s="7"/>
      <c r="O114" s="33"/>
      <c r="P114" s="7"/>
      <c r="Q114" s="15"/>
      <c r="R114" s="33"/>
      <c r="S114" s="33"/>
      <c r="T114" s="33"/>
      <c r="U114" s="33"/>
      <c r="V114" s="33"/>
      <c r="AF114" s="33"/>
      <c r="AG114" s="15"/>
      <c r="AH114" s="15"/>
    </row>
    <row r="115" spans="1:60" x14ac:dyDescent="0.25">
      <c r="A115" s="1"/>
      <c r="B115" s="1"/>
      <c r="C115" s="5"/>
      <c r="E115" s="5"/>
      <c r="F115" s="5"/>
      <c r="H115" s="5"/>
      <c r="I115" s="5"/>
      <c r="J115" s="5"/>
      <c r="L115" s="15"/>
      <c r="M115" s="7"/>
      <c r="N115" s="7"/>
      <c r="O115" s="33"/>
      <c r="P115" s="7"/>
      <c r="Q115" s="15"/>
      <c r="R115" s="33"/>
      <c r="S115" s="33"/>
      <c r="T115" s="33"/>
      <c r="U115" s="33"/>
      <c r="V115" s="33"/>
      <c r="AF115" s="33"/>
      <c r="AG115" s="15"/>
      <c r="AH115" s="15"/>
    </row>
    <row r="116" spans="1:60" ht="15.75" x14ac:dyDescent="0.25">
      <c r="A116" s="12" t="s">
        <v>11</v>
      </c>
      <c r="B116" s="17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39"/>
      <c r="R116" s="39"/>
      <c r="S116" s="39"/>
      <c r="T116" s="39"/>
      <c r="U116" s="39"/>
      <c r="V116" s="33"/>
      <c r="W116" s="11"/>
      <c r="X116" s="11"/>
      <c r="Y116" s="36" t="s">
        <v>31</v>
      </c>
      <c r="Z116" s="37"/>
      <c r="AA116" s="37"/>
      <c r="AB116" s="11"/>
      <c r="AC116" s="11"/>
      <c r="AD116" s="11"/>
      <c r="AE116" s="11"/>
      <c r="AF116" s="11"/>
      <c r="AG116" s="11"/>
      <c r="AH116" s="11"/>
      <c r="AI116" s="11"/>
      <c r="AJ116" s="11"/>
      <c r="AK116" s="11"/>
      <c r="AL116" s="11"/>
      <c r="AM116" s="11"/>
      <c r="AN116" s="11"/>
      <c r="AO116" s="11"/>
      <c r="AP116" s="11"/>
      <c r="AQ116" s="11"/>
      <c r="AR116" s="11"/>
      <c r="AS116" s="11"/>
      <c r="AT116" s="11"/>
      <c r="AU116" s="11"/>
      <c r="AV116" s="11"/>
      <c r="AW116" s="11"/>
      <c r="AX116" s="11"/>
      <c r="AY116" s="11"/>
      <c r="AZ116" s="11"/>
      <c r="BA116" s="11"/>
      <c r="BB116" s="11"/>
      <c r="BC116" s="11"/>
      <c r="BD116" s="11"/>
      <c r="BE116" s="11"/>
      <c r="BF116" s="11"/>
      <c r="BG116" s="11"/>
      <c r="BH116" s="11"/>
    </row>
    <row r="117" spans="1:60" x14ac:dyDescent="0.25">
      <c r="A117" s="16" t="s">
        <v>21</v>
      </c>
      <c r="B117" s="16"/>
      <c r="C117" s="14"/>
      <c r="D117" s="14"/>
      <c r="E117" s="11"/>
      <c r="F117" s="11"/>
      <c r="G117" s="11"/>
      <c r="H117" s="11">
        <f>AVERAGE(H121:H134,H139:H152,H157:H170,H175:H188,H193:H206)</f>
        <v>5.762651142857143</v>
      </c>
      <c r="I117" s="11"/>
      <c r="J117" s="11"/>
      <c r="K117" s="11"/>
      <c r="L117" s="11"/>
      <c r="M117" s="11"/>
      <c r="N117" s="11"/>
      <c r="O117" s="11"/>
      <c r="P117" s="11"/>
      <c r="Q117" s="39"/>
      <c r="R117" s="39"/>
      <c r="S117" s="39"/>
      <c r="T117" s="39"/>
      <c r="U117" s="39"/>
      <c r="V117" s="33"/>
      <c r="W117" s="11"/>
      <c r="X117" s="11"/>
      <c r="Y117" s="11"/>
      <c r="Z117" s="11"/>
      <c r="AA117" s="11"/>
      <c r="AB117" s="11"/>
      <c r="AC117" s="11"/>
      <c r="AD117" s="11"/>
      <c r="AE117" s="11"/>
      <c r="AF117" s="11"/>
      <c r="AG117" s="11"/>
      <c r="AH117" s="11"/>
      <c r="AI117" s="11"/>
      <c r="AJ117" s="11"/>
      <c r="AK117" s="11"/>
      <c r="AL117" s="11"/>
      <c r="AM117" s="11"/>
      <c r="AN117" s="11"/>
      <c r="AO117" s="11"/>
      <c r="AP117" s="11"/>
      <c r="AQ117" s="11"/>
      <c r="AR117" s="11"/>
      <c r="AS117" s="11"/>
      <c r="AT117" s="11"/>
      <c r="AU117" s="11"/>
      <c r="AV117" s="11"/>
      <c r="AW117" s="11"/>
      <c r="AX117" s="11"/>
      <c r="AY117" s="11"/>
      <c r="AZ117" s="11"/>
      <c r="BA117" s="11"/>
      <c r="BB117" s="11"/>
      <c r="BC117" s="11"/>
      <c r="BD117" s="11"/>
      <c r="BE117" s="11"/>
      <c r="BF117" s="11"/>
      <c r="BG117" s="11"/>
      <c r="BH117" s="11"/>
    </row>
    <row r="118" spans="1:60" x14ac:dyDescent="0.25">
      <c r="C118" s="6"/>
      <c r="E118" s="6"/>
      <c r="F118" s="6"/>
      <c r="H118" s="8"/>
      <c r="I118" s="6"/>
      <c r="J118" s="6"/>
      <c r="L118" s="7"/>
      <c r="M118" s="7"/>
      <c r="N118" s="7"/>
      <c r="O118" s="33"/>
      <c r="P118" s="7"/>
      <c r="Q118" s="15"/>
      <c r="R118" s="33"/>
      <c r="S118" s="33"/>
      <c r="T118" s="33"/>
      <c r="U118" s="33"/>
      <c r="V118" s="33"/>
      <c r="Y118" s="10" t="s">
        <v>28</v>
      </c>
      <c r="Z118" s="10" t="s">
        <v>28</v>
      </c>
      <c r="AA118" s="10" t="s">
        <v>28</v>
      </c>
      <c r="AF118" s="33"/>
      <c r="AG118" s="15"/>
      <c r="AH118" s="15"/>
    </row>
    <row r="119" spans="1:60" x14ac:dyDescent="0.25">
      <c r="A119" s="18" t="s">
        <v>23</v>
      </c>
      <c r="B119" s="18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5"/>
      <c r="P119" s="2"/>
      <c r="Q119" s="15"/>
      <c r="R119" s="25"/>
      <c r="S119" s="33"/>
      <c r="T119" s="33"/>
      <c r="U119" s="33"/>
      <c r="V119" s="33"/>
      <c r="W119" s="13"/>
      <c r="X119" s="13"/>
      <c r="Y119" s="18" t="s">
        <v>27</v>
      </c>
      <c r="Z119" s="18" t="s">
        <v>29</v>
      </c>
      <c r="AA119" s="18" t="s">
        <v>30</v>
      </c>
      <c r="AB119" s="26"/>
      <c r="AC119" s="13"/>
      <c r="AD119" s="18" t="s">
        <v>14</v>
      </c>
      <c r="AE119" s="2"/>
      <c r="AF119" s="20" t="s">
        <v>17</v>
      </c>
      <c r="AG119" s="2"/>
      <c r="AH119" s="18" t="s">
        <v>16</v>
      </c>
      <c r="AO119" s="18" t="s">
        <v>60</v>
      </c>
      <c r="AP119" s="18"/>
      <c r="AQ119" s="2"/>
      <c r="AR119" s="2"/>
      <c r="AS119" s="2"/>
      <c r="AT119" s="13"/>
      <c r="AU119" s="13"/>
      <c r="AV119" s="13"/>
      <c r="AW119" s="18" t="s">
        <v>61</v>
      </c>
      <c r="AX119" s="18"/>
      <c r="AY119" s="2"/>
      <c r="AZ119" s="2"/>
      <c r="BA119" s="2"/>
      <c r="BD119" s="2"/>
    </row>
    <row r="120" spans="1:60" ht="18.75" x14ac:dyDescent="0.35">
      <c r="A120" s="18" t="s">
        <v>0</v>
      </c>
      <c r="B120" s="18"/>
      <c r="C120" s="18" t="s">
        <v>12</v>
      </c>
      <c r="D120" s="18"/>
      <c r="E120" s="18" t="s">
        <v>13</v>
      </c>
      <c r="F120" s="18" t="s">
        <v>1</v>
      </c>
      <c r="G120" s="18" t="s">
        <v>19</v>
      </c>
      <c r="H120" s="18" t="s">
        <v>2</v>
      </c>
      <c r="I120" s="18" t="s">
        <v>3</v>
      </c>
      <c r="J120" s="20" t="s">
        <v>4</v>
      </c>
      <c r="K120" s="20" t="s">
        <v>15</v>
      </c>
      <c r="L120" s="18" t="s">
        <v>33</v>
      </c>
      <c r="M120" s="18" t="s">
        <v>34</v>
      </c>
      <c r="N120" s="18" t="s">
        <v>35</v>
      </c>
      <c r="O120" s="18" t="s">
        <v>9</v>
      </c>
      <c r="P120" s="18" t="s">
        <v>40</v>
      </c>
      <c r="Q120" s="26"/>
      <c r="R120" s="18" t="s">
        <v>43</v>
      </c>
      <c r="S120" s="20" t="s">
        <v>41</v>
      </c>
      <c r="T120" s="21" t="s">
        <v>42</v>
      </c>
      <c r="U120" s="21" t="s">
        <v>44</v>
      </c>
      <c r="V120" s="33"/>
      <c r="W120" s="13"/>
      <c r="X120" s="35" t="s">
        <v>32</v>
      </c>
      <c r="Y120" s="34">
        <v>1.9647093381322436E-2</v>
      </c>
      <c r="Z120" s="19"/>
      <c r="AA120" s="19"/>
      <c r="AB120" s="15"/>
      <c r="AC120" s="13"/>
      <c r="AD120" s="19"/>
      <c r="AE120" s="19"/>
      <c r="AF120" s="19"/>
      <c r="AG120" s="19"/>
      <c r="AH120" s="19"/>
      <c r="AI120" s="13"/>
      <c r="AJ120" s="13"/>
      <c r="AK120" s="13"/>
      <c r="AL120" s="13"/>
      <c r="AM120" s="13"/>
      <c r="AN120" s="13"/>
      <c r="AO120" s="19"/>
      <c r="AP120" s="20" t="s">
        <v>48</v>
      </c>
      <c r="AQ120" s="20"/>
      <c r="AR120" s="20" t="s">
        <v>47</v>
      </c>
      <c r="AS120" s="20"/>
      <c r="AW120" s="19"/>
      <c r="AX120" s="20" t="s">
        <v>48</v>
      </c>
      <c r="AY120" s="20"/>
      <c r="AZ120" s="20" t="s">
        <v>47</v>
      </c>
      <c r="BA120" s="20"/>
      <c r="BD120" s="2" t="s">
        <v>59</v>
      </c>
    </row>
    <row r="121" spans="1:60" ht="18" x14ac:dyDescent="0.35">
      <c r="A121" s="24">
        <v>0</v>
      </c>
      <c r="B121" s="27"/>
      <c r="C121" s="24">
        <v>4.0530489836721112E-2</v>
      </c>
      <c r="D121" s="24"/>
      <c r="E121" s="32">
        <f>C121-$C$121</f>
        <v>0</v>
      </c>
      <c r="F121" s="32">
        <f>E121+($F$2*9.81)</f>
        <v>7.7499000000000012E-2</v>
      </c>
      <c r="G121" s="24">
        <v>5493.31</v>
      </c>
      <c r="H121" s="24">
        <f>G121/1000</f>
        <v>5.4933100000000001</v>
      </c>
      <c r="I121" s="24">
        <f>H121*$F$5</f>
        <v>130.46611250000001</v>
      </c>
      <c r="J121" s="33">
        <f>F121/I121</f>
        <v>5.9401631975506287E-4</v>
      </c>
      <c r="K121" s="33">
        <f t="shared" ref="K121:K134" si="100">J121*1000</f>
        <v>0.59401631975506286</v>
      </c>
      <c r="L121" s="24">
        <v>57735.25</v>
      </c>
      <c r="M121" s="32">
        <f>((L121*$F$6)/1000)</f>
        <v>33.370974499999996</v>
      </c>
      <c r="N121" s="33">
        <f>M121*($F$5/$F$14)</f>
        <v>95.642031049001176</v>
      </c>
      <c r="O121" s="32">
        <f>SQRT((4*$F$8*F121)/(2*3.14*$F$10*N121))</f>
        <v>1.5383870364043314E-5</v>
      </c>
      <c r="P121" s="32">
        <f>2*O121*N121</f>
        <v>2.9426892140232792E-3</v>
      </c>
      <c r="Q121" s="15"/>
      <c r="R121" s="33">
        <f t="shared" si="76"/>
        <v>19472.554104477611</v>
      </c>
      <c r="S121" s="33">
        <f t="shared" si="77"/>
        <v>1.0781484107372775E-6</v>
      </c>
      <c r="T121" s="33">
        <f t="shared" si="98"/>
        <v>4.1988606521476374E-2</v>
      </c>
      <c r="U121" s="33">
        <f t="shared" si="78"/>
        <v>4.9116325745377594E-3</v>
      </c>
      <c r="V121" s="33">
        <f t="shared" si="79"/>
        <v>0.49116325745377593</v>
      </c>
      <c r="W121" s="13"/>
      <c r="X121" s="13"/>
      <c r="Y121" s="24">
        <v>0.2</v>
      </c>
      <c r="Z121" s="24">
        <f>Y121-$Y$120</f>
        <v>0.18035290661867759</v>
      </c>
      <c r="AA121" s="24">
        <f>Z121/2</f>
        <v>9.0176453309338794E-2</v>
      </c>
      <c r="AC121" s="13"/>
      <c r="AD121" s="33">
        <f t="shared" ref="AD121:AD134" si="101">AA121/F121</f>
        <v>1.1635821534386093</v>
      </c>
      <c r="AE121" s="13"/>
      <c r="AF121" s="33">
        <f t="shared" ref="AF121:AF134" si="102">AA121/P121</f>
        <v>30.644232792102599</v>
      </c>
      <c r="AG121" s="15"/>
      <c r="AH121" s="15">
        <f>P121*24</f>
        <v>7.0624541136558694E-2</v>
      </c>
      <c r="AO121" s="10" t="s">
        <v>55</v>
      </c>
      <c r="AP121">
        <v>0.70960000000000001</v>
      </c>
      <c r="AR121">
        <v>0.65180000000000005</v>
      </c>
      <c r="AS121">
        <v>0.76729999999999998</v>
      </c>
      <c r="AW121" s="46" t="s">
        <v>57</v>
      </c>
      <c r="AX121" s="13">
        <v>3.8440000000000002E-2</v>
      </c>
      <c r="AY121" s="13"/>
      <c r="AZ121" s="13">
        <v>3.567E-2</v>
      </c>
      <c r="BA121" s="13">
        <v>4.1209999999999997E-2</v>
      </c>
      <c r="BD121">
        <f>AP121/AX121</f>
        <v>18.459937565036419</v>
      </c>
    </row>
    <row r="122" spans="1:60" ht="18" x14ac:dyDescent="0.35">
      <c r="A122" s="24">
        <v>1</v>
      </c>
      <c r="B122" s="27"/>
      <c r="C122" s="24">
        <v>0.77547984005331161</v>
      </c>
      <c r="D122" s="24"/>
      <c r="E122" s="33">
        <f t="shared" ref="E122:E134" si="103">C122-$C$121</f>
        <v>0.73494935021659047</v>
      </c>
      <c r="F122" s="33">
        <f t="shared" ref="F122:F134" si="104">E122+($F$2*9.81)</f>
        <v>0.81244835021659045</v>
      </c>
      <c r="G122" s="24">
        <v>5485.89</v>
      </c>
      <c r="H122" s="24">
        <f t="shared" ref="H122:H134" si="105">G122/1000</f>
        <v>5.4858900000000004</v>
      </c>
      <c r="I122" s="24">
        <f t="shared" ref="I122:I134" si="106">H122*$F$5</f>
        <v>130.28988750000002</v>
      </c>
      <c r="J122" s="33">
        <f t="shared" ref="J122:J134" si="107">F122/I122</f>
        <v>6.2356976877164802E-3</v>
      </c>
      <c r="K122" s="33">
        <f t="shared" si="100"/>
        <v>6.2356976877164803</v>
      </c>
      <c r="L122" s="24">
        <v>347472.75</v>
      </c>
      <c r="M122" s="33">
        <f t="shared" ref="M122:M134" si="108">((L122*$F$6)/1000)</f>
        <v>200.83924949999997</v>
      </c>
      <c r="N122" s="33">
        <f t="shared" ref="N122:N133" si="109">M122*($F$5/$F$14)</f>
        <v>575.61021289735163</v>
      </c>
      <c r="O122" s="33">
        <f t="shared" ref="O122:O151" si="110">SQRT((4*$F$8*F122)/(2*3.14*$F$10*N122))</f>
        <v>2.0303718915784354E-5</v>
      </c>
      <c r="P122" s="33">
        <f t="shared" ref="P122:P134" si="111">2*O122*N122</f>
        <v>2.3374055935445236E-2</v>
      </c>
      <c r="Q122" s="15"/>
      <c r="R122" s="33">
        <f t="shared" si="76"/>
        <v>19446.251865671642</v>
      </c>
      <c r="S122" s="33">
        <f t="shared" si="77"/>
        <v>3.4931873976535204E-6</v>
      </c>
      <c r="T122" s="33">
        <f t="shared" si="98"/>
        <v>0.13585880389752089</v>
      </c>
      <c r="U122" s="33">
        <f t="shared" si="78"/>
        <v>2.9600059531959117E-2</v>
      </c>
      <c r="V122" s="33">
        <f t="shared" si="79"/>
        <v>2.9600059531959118</v>
      </c>
      <c r="W122" s="13"/>
      <c r="X122" s="13"/>
      <c r="Y122" s="24">
        <v>1.06</v>
      </c>
      <c r="Z122" s="24">
        <f t="shared" ref="Z122:Z133" si="112">Y122-$Y$120</f>
        <v>1.0403529066186776</v>
      </c>
      <c r="AA122" s="24">
        <f t="shared" ref="AA122:AA133" si="113">Z122/2</f>
        <v>0.52017645330933882</v>
      </c>
      <c r="AC122" s="13"/>
      <c r="AD122" s="33">
        <f t="shared" si="101"/>
        <v>0.64025787383365984</v>
      </c>
      <c r="AE122" s="13"/>
      <c r="AF122" s="33">
        <f t="shared" si="102"/>
        <v>22.254436916980463</v>
      </c>
      <c r="AG122" s="15"/>
      <c r="AH122" s="15">
        <f t="shared" ref="AH122:AH134" si="114">P122*24</f>
        <v>0.56097734245068565</v>
      </c>
      <c r="AO122" s="10" t="s">
        <v>56</v>
      </c>
      <c r="AP122">
        <v>0.83009999999999995</v>
      </c>
      <c r="AR122">
        <v>0.80710000000000004</v>
      </c>
      <c r="AS122">
        <v>0.85309999999999997</v>
      </c>
      <c r="AW122" s="46" t="s">
        <v>58</v>
      </c>
      <c r="AX122" s="13">
        <v>0.74790000000000001</v>
      </c>
      <c r="AY122" s="13"/>
      <c r="AZ122" s="13">
        <v>0.72740000000000005</v>
      </c>
      <c r="BA122" s="13">
        <v>0.76839999999999997</v>
      </c>
    </row>
    <row r="123" spans="1:60" x14ac:dyDescent="0.25">
      <c r="A123" s="24">
        <v>2</v>
      </c>
      <c r="B123" s="27"/>
      <c r="C123" s="24">
        <v>1.5408307230923013</v>
      </c>
      <c r="D123" s="24"/>
      <c r="E123" s="33">
        <f t="shared" si="103"/>
        <v>1.5003002332555802</v>
      </c>
      <c r="F123" s="33">
        <f t="shared" si="104"/>
        <v>1.5777992332555801</v>
      </c>
      <c r="G123" s="24">
        <v>5501.79</v>
      </c>
      <c r="H123" s="24">
        <f t="shared" si="105"/>
        <v>5.5017899999999997</v>
      </c>
      <c r="I123" s="24">
        <f t="shared" si="106"/>
        <v>130.66751249999999</v>
      </c>
      <c r="J123" s="33">
        <f t="shared" si="107"/>
        <v>1.2074915968539466E-2</v>
      </c>
      <c r="K123" s="33">
        <f t="shared" si="100"/>
        <v>12.074915968539466</v>
      </c>
      <c r="L123" s="24">
        <v>615029</v>
      </c>
      <c r="M123" s="33">
        <f t="shared" si="108"/>
        <v>355.486762</v>
      </c>
      <c r="N123" s="33">
        <f t="shared" si="109"/>
        <v>1018.833775103358</v>
      </c>
      <c r="O123" s="33">
        <f t="shared" si="110"/>
        <v>2.1267486255111532E-5</v>
      </c>
      <c r="P123" s="33">
        <f t="shared" si="111"/>
        <v>4.3336066616508122E-2</v>
      </c>
      <c r="Q123" s="15"/>
      <c r="R123" s="33">
        <f t="shared" si="76"/>
        <v>19502.613805970148</v>
      </c>
      <c r="S123" s="33">
        <f t="shared" si="77"/>
        <v>4.8609529470605682E-6</v>
      </c>
      <c r="T123" s="33">
        <f t="shared" si="98"/>
        <v>0.18960257611102943</v>
      </c>
      <c r="U123" s="33">
        <f t="shared" si="78"/>
        <v>5.22408834651421E-2</v>
      </c>
      <c r="V123" s="33">
        <f t="shared" si="79"/>
        <v>5.2240883465142103</v>
      </c>
      <c r="W123" s="13"/>
      <c r="X123" s="13"/>
      <c r="Y123" s="24">
        <v>1.84</v>
      </c>
      <c r="Z123" s="24">
        <f t="shared" si="112"/>
        <v>1.8203529066186777</v>
      </c>
      <c r="AA123" s="24">
        <f t="shared" si="113"/>
        <v>0.91017645330933883</v>
      </c>
      <c r="AC123" s="13"/>
      <c r="AD123" s="33">
        <f t="shared" si="101"/>
        <v>0.57686455546775117</v>
      </c>
      <c r="AE123" s="13"/>
      <c r="AF123" s="33">
        <f t="shared" si="102"/>
        <v>21.002747235085312</v>
      </c>
      <c r="AG123" s="15"/>
      <c r="AH123" s="15">
        <f t="shared" si="114"/>
        <v>1.0400655987961949</v>
      </c>
    </row>
    <row r="124" spans="1:60" x14ac:dyDescent="0.25">
      <c r="A124" s="24">
        <v>3</v>
      </c>
      <c r="B124" s="27"/>
      <c r="C124" s="24">
        <v>3.1935134955014943</v>
      </c>
      <c r="D124" s="24"/>
      <c r="E124" s="33">
        <f t="shared" si="103"/>
        <v>3.1529830056647734</v>
      </c>
      <c r="F124" s="33">
        <f t="shared" si="104"/>
        <v>3.2304820056647734</v>
      </c>
      <c r="G124" s="24">
        <v>5524.04</v>
      </c>
      <c r="H124" s="24">
        <f t="shared" si="105"/>
        <v>5.5240400000000003</v>
      </c>
      <c r="I124" s="24">
        <f t="shared" si="106"/>
        <v>131.19595000000001</v>
      </c>
      <c r="J124" s="33">
        <f t="shared" si="107"/>
        <v>2.462333635805658E-2</v>
      </c>
      <c r="K124" s="33">
        <f t="shared" si="100"/>
        <v>24.62333635805658</v>
      </c>
      <c r="L124" s="24">
        <v>1047250.51</v>
      </c>
      <c r="M124" s="33">
        <f t="shared" si="108"/>
        <v>605.31079478000004</v>
      </c>
      <c r="N124" s="33">
        <f t="shared" si="109"/>
        <v>1734.8355778056271</v>
      </c>
      <c r="O124" s="33">
        <f t="shared" si="110"/>
        <v>2.332096195454981E-5</v>
      </c>
      <c r="P124" s="33">
        <f t="shared" si="111"/>
        <v>8.0916069014808925E-2</v>
      </c>
      <c r="Q124" s="15"/>
      <c r="R124" s="33">
        <f t="shared" si="76"/>
        <v>19581.485074626864</v>
      </c>
      <c r="S124" s="33">
        <f t="shared" si="77"/>
        <v>6.9414916806392302E-6</v>
      </c>
      <c r="T124" s="33">
        <f t="shared" si="98"/>
        <v>0.27184943148016727</v>
      </c>
      <c r="U124" s="33">
        <f t="shared" si="78"/>
        <v>8.8595710243324605E-2</v>
      </c>
      <c r="V124" s="33">
        <f t="shared" si="79"/>
        <v>8.8595710243324604</v>
      </c>
      <c r="W124" s="13"/>
      <c r="X124" s="13"/>
      <c r="Y124" s="24">
        <v>3.9</v>
      </c>
      <c r="Z124" s="24">
        <f t="shared" si="112"/>
        <v>3.8803529066186773</v>
      </c>
      <c r="AA124" s="24">
        <f t="shared" si="113"/>
        <v>1.9401764533093386</v>
      </c>
      <c r="AC124" s="13"/>
      <c r="AD124" s="33">
        <f t="shared" si="101"/>
        <v>0.60058420071901508</v>
      </c>
      <c r="AE124" s="13"/>
      <c r="AF124" s="33">
        <f t="shared" si="102"/>
        <v>23.977640991856088</v>
      </c>
      <c r="AG124" s="15"/>
      <c r="AH124" s="15">
        <f t="shared" si="114"/>
        <v>1.9419856563554143</v>
      </c>
    </row>
    <row r="125" spans="1:60" x14ac:dyDescent="0.25">
      <c r="A125" s="24">
        <v>4</v>
      </c>
      <c r="B125" s="27"/>
      <c r="C125" s="24">
        <v>4.7818493835388178</v>
      </c>
      <c r="D125" s="24"/>
      <c r="E125" s="33">
        <f t="shared" si="103"/>
        <v>4.7413188937020969</v>
      </c>
      <c r="F125" s="33">
        <f t="shared" si="104"/>
        <v>4.8188178937020973</v>
      </c>
      <c r="G125" s="24">
        <v>5569.61</v>
      </c>
      <c r="H125" s="24">
        <f t="shared" si="105"/>
        <v>5.5696099999999999</v>
      </c>
      <c r="I125" s="24">
        <f t="shared" si="106"/>
        <v>132.27823749999999</v>
      </c>
      <c r="J125" s="33">
        <f t="shared" si="107"/>
        <v>3.6429408077818526E-2</v>
      </c>
      <c r="K125" s="33">
        <f t="shared" si="100"/>
        <v>36.429408077818529</v>
      </c>
      <c r="L125" s="24">
        <v>1550592.5</v>
      </c>
      <c r="M125" s="33">
        <f t="shared" si="108"/>
        <v>896.24246499999992</v>
      </c>
      <c r="N125" s="33">
        <f t="shared" si="109"/>
        <v>2568.6528772170964</v>
      </c>
      <c r="O125" s="33">
        <f t="shared" si="110"/>
        <v>2.3407741095280858E-5</v>
      </c>
      <c r="P125" s="33">
        <f t="shared" si="111"/>
        <v>0.12025272302709208</v>
      </c>
      <c r="Q125" s="15"/>
      <c r="R125" s="33">
        <f t="shared" si="76"/>
        <v>19743.020522388058</v>
      </c>
      <c r="S125" s="33">
        <f t="shared" si="77"/>
        <v>8.443167711671101E-6</v>
      </c>
      <c r="T125" s="33">
        <f t="shared" si="98"/>
        <v>0.33338726681097353</v>
      </c>
      <c r="U125" s="33">
        <f t="shared" si="78"/>
        <v>0.1301043512721021</v>
      </c>
      <c r="V125" s="33">
        <f t="shared" si="79"/>
        <v>13.01043512721021</v>
      </c>
      <c r="W125" s="13"/>
      <c r="X125" s="13"/>
      <c r="Y125" s="24">
        <v>5.74</v>
      </c>
      <c r="Z125" s="24">
        <f t="shared" si="112"/>
        <v>5.720352906618678</v>
      </c>
      <c r="AA125" s="24">
        <f t="shared" si="113"/>
        <v>2.860176453309339</v>
      </c>
      <c r="AC125" s="13"/>
      <c r="AD125" s="33">
        <f t="shared" si="101"/>
        <v>0.59354317104354914</v>
      </c>
      <c r="AE125" s="13"/>
      <c r="AF125" s="33">
        <f t="shared" si="102"/>
        <v>23.784712572911648</v>
      </c>
      <c r="AG125" s="15"/>
      <c r="AH125" s="15">
        <f t="shared" si="114"/>
        <v>2.8860653526502098</v>
      </c>
    </row>
    <row r="126" spans="1:60" x14ac:dyDescent="0.25">
      <c r="A126" s="24">
        <v>5</v>
      </c>
      <c r="B126" s="27"/>
      <c r="C126" s="24">
        <v>6.5216491169610524</v>
      </c>
      <c r="D126" s="24"/>
      <c r="E126" s="33">
        <f t="shared" si="103"/>
        <v>6.4811186271243315</v>
      </c>
      <c r="F126" s="33">
        <f t="shared" si="104"/>
        <v>6.5586176271243319</v>
      </c>
      <c r="G126" s="24">
        <v>5608.82</v>
      </c>
      <c r="H126" s="24">
        <f t="shared" si="105"/>
        <v>5.6088199999999997</v>
      </c>
      <c r="I126" s="24">
        <f t="shared" si="106"/>
        <v>133.209475</v>
      </c>
      <c r="J126" s="33">
        <f t="shared" si="107"/>
        <v>4.9235368783822113E-2</v>
      </c>
      <c r="K126" s="33">
        <f t="shared" si="100"/>
        <v>49.235368783822111</v>
      </c>
      <c r="L126" s="24">
        <v>1973718.5099999998</v>
      </c>
      <c r="M126" s="33">
        <f t="shared" si="108"/>
        <v>1140.8092987799998</v>
      </c>
      <c r="N126" s="33">
        <f t="shared" si="109"/>
        <v>3269.5874186984265</v>
      </c>
      <c r="O126" s="33">
        <f t="shared" si="110"/>
        <v>2.4204807691576084E-5</v>
      </c>
      <c r="P126" s="33">
        <f t="shared" si="111"/>
        <v>0.15827946940078413</v>
      </c>
      <c r="Q126" s="15"/>
      <c r="R126" s="33">
        <f t="shared" si="76"/>
        <v>19882.011194029848</v>
      </c>
      <c r="S126" s="33">
        <f t="shared" si="77"/>
        <v>9.8156249594574877E-6</v>
      </c>
      <c r="T126" s="33">
        <f t="shared" si="98"/>
        <v>0.39030873064066507</v>
      </c>
      <c r="U126" s="33">
        <f t="shared" si="78"/>
        <v>0.16444953112591623</v>
      </c>
      <c r="V126" s="33">
        <f t="shared" si="79"/>
        <v>16.444953112591623</v>
      </c>
      <c r="W126" s="13"/>
      <c r="X126" s="13"/>
      <c r="Y126" s="24">
        <v>7.02</v>
      </c>
      <c r="Z126" s="24">
        <f t="shared" si="112"/>
        <v>7.0003529066186774</v>
      </c>
      <c r="AA126" s="24">
        <f t="shared" si="113"/>
        <v>3.5001764533093387</v>
      </c>
      <c r="AC126" s="13"/>
      <c r="AD126" s="33">
        <f t="shared" si="101"/>
        <v>0.53367594397236018</v>
      </c>
      <c r="AE126" s="13"/>
      <c r="AF126" s="33">
        <f t="shared" si="102"/>
        <v>22.113900599745115</v>
      </c>
      <c r="AG126" s="15"/>
      <c r="AH126" s="15">
        <f t="shared" si="114"/>
        <v>3.7987072656188192</v>
      </c>
    </row>
    <row r="127" spans="1:60" x14ac:dyDescent="0.25">
      <c r="A127" s="24">
        <v>6</v>
      </c>
      <c r="B127" s="27"/>
      <c r="C127" s="24">
        <v>8.0184271909363503</v>
      </c>
      <c r="D127" s="24"/>
      <c r="E127" s="33">
        <f t="shared" si="103"/>
        <v>7.9778967010996293</v>
      </c>
      <c r="F127" s="33">
        <f t="shared" si="104"/>
        <v>8.0553957010996289</v>
      </c>
      <c r="G127" s="24">
        <v>5664.98</v>
      </c>
      <c r="H127" s="24">
        <f t="shared" si="105"/>
        <v>5.6649799999999999</v>
      </c>
      <c r="I127" s="24">
        <f t="shared" si="106"/>
        <v>134.54327499999999</v>
      </c>
      <c r="J127" s="33">
        <f t="shared" si="107"/>
        <v>5.9872154153372804E-2</v>
      </c>
      <c r="K127" s="33">
        <f t="shared" si="100"/>
        <v>59.872154153372804</v>
      </c>
      <c r="L127" s="24">
        <v>2360159</v>
      </c>
      <c r="M127" s="33">
        <f t="shared" si="108"/>
        <v>1364.171902</v>
      </c>
      <c r="N127" s="33">
        <f t="shared" si="109"/>
        <v>3909.7501155460413</v>
      </c>
      <c r="O127" s="33">
        <f t="shared" si="110"/>
        <v>2.4530753938223705E-5</v>
      </c>
      <c r="P127" s="33">
        <f t="shared" si="111"/>
        <v>0.19181823608880327</v>
      </c>
      <c r="Q127" s="15"/>
      <c r="R127" s="33">
        <f t="shared" si="76"/>
        <v>20081.085820895521</v>
      </c>
      <c r="S127" s="33">
        <f t="shared" si="77"/>
        <v>1.0824100118926455E-5</v>
      </c>
      <c r="T127" s="33">
        <f t="shared" si="98"/>
        <v>0.43471936684425511</v>
      </c>
      <c r="U127" s="33">
        <f t="shared" si="78"/>
        <v>0.19469814284034989</v>
      </c>
      <c r="V127" s="33">
        <f t="shared" si="79"/>
        <v>19.469814284034989</v>
      </c>
      <c r="W127" s="13"/>
      <c r="X127" s="13"/>
      <c r="Y127" s="24">
        <v>8.61</v>
      </c>
      <c r="Z127" s="24">
        <f t="shared" si="112"/>
        <v>8.5903529066186763</v>
      </c>
      <c r="AA127" s="24">
        <f t="shared" si="113"/>
        <v>4.2951764533093382</v>
      </c>
      <c r="AC127" s="13"/>
      <c r="AD127" s="33">
        <f t="shared" si="101"/>
        <v>0.53320489926062986</v>
      </c>
      <c r="AE127" s="13"/>
      <c r="AF127" s="33">
        <f t="shared" si="102"/>
        <v>22.391908824147791</v>
      </c>
      <c r="AG127" s="15"/>
      <c r="AH127" s="15">
        <f t="shared" si="114"/>
        <v>4.603637666131279</v>
      </c>
    </row>
    <row r="128" spans="1:60" x14ac:dyDescent="0.25">
      <c r="A128" s="24">
        <v>7</v>
      </c>
      <c r="B128" s="27"/>
      <c r="C128" s="24">
        <v>11.965210929690093</v>
      </c>
      <c r="D128" s="24"/>
      <c r="E128" s="33">
        <f t="shared" si="103"/>
        <v>11.924680439853372</v>
      </c>
      <c r="F128" s="33">
        <f t="shared" si="104"/>
        <v>12.002179439853371</v>
      </c>
      <c r="G128" s="24">
        <v>5713.72</v>
      </c>
      <c r="H128" s="24">
        <f t="shared" si="105"/>
        <v>5.7137200000000004</v>
      </c>
      <c r="I128" s="24">
        <f t="shared" si="106"/>
        <v>135.70085</v>
      </c>
      <c r="J128" s="33">
        <f t="shared" si="107"/>
        <v>8.8445867802989964E-2</v>
      </c>
      <c r="K128" s="33">
        <f t="shared" si="100"/>
        <v>88.445867802989966</v>
      </c>
      <c r="L128" s="24">
        <v>2767116.51</v>
      </c>
      <c r="M128" s="33">
        <f t="shared" si="108"/>
        <v>1599.3933427799998</v>
      </c>
      <c r="N128" s="33">
        <f t="shared" si="109"/>
        <v>4583.9005315751428</v>
      </c>
      <c r="O128" s="33">
        <f t="shared" si="110"/>
        <v>2.7653774843228284E-5</v>
      </c>
      <c r="P128" s="33">
        <f t="shared" si="111"/>
        <v>0.25352430640786688</v>
      </c>
      <c r="Q128" s="15"/>
      <c r="R128" s="33">
        <f t="shared" si="76"/>
        <v>20253.858208955222</v>
      </c>
      <c r="S128" s="33">
        <f t="shared" si="77"/>
        <v>1.3155826350197922E-5</v>
      </c>
      <c r="T128" s="33">
        <f t="shared" si="98"/>
        <v>0.53291248303709116</v>
      </c>
      <c r="U128" s="33">
        <f t="shared" si="78"/>
        <v>0.22632233741758773</v>
      </c>
      <c r="V128" s="33">
        <f t="shared" si="79"/>
        <v>22.632233741758771</v>
      </c>
      <c r="W128" s="13"/>
      <c r="X128" s="13"/>
      <c r="Y128" s="24">
        <v>11.08</v>
      </c>
      <c r="Z128" s="24">
        <f t="shared" si="112"/>
        <v>11.060352906618677</v>
      </c>
      <c r="AA128" s="24">
        <f t="shared" si="113"/>
        <v>5.5301764533093385</v>
      </c>
      <c r="AC128" s="13"/>
      <c r="AD128" s="33">
        <f t="shared" si="101"/>
        <v>0.4607643537594785</v>
      </c>
      <c r="AE128" s="13"/>
      <c r="AF128" s="33">
        <f t="shared" si="102"/>
        <v>21.81320020815857</v>
      </c>
      <c r="AG128" s="15"/>
      <c r="AH128" s="15">
        <f t="shared" si="114"/>
        <v>6.0845833537888048</v>
      </c>
    </row>
    <row r="129" spans="1:56" x14ac:dyDescent="0.25">
      <c r="A129" s="24">
        <v>8</v>
      </c>
      <c r="B129" s="27"/>
      <c r="C129" s="24">
        <v>18.006393868710546</v>
      </c>
      <c r="D129" s="24"/>
      <c r="E129" s="33">
        <f t="shared" si="103"/>
        <v>17.965863378873824</v>
      </c>
      <c r="F129" s="33">
        <f t="shared" si="104"/>
        <v>18.043362378873823</v>
      </c>
      <c r="G129" s="24">
        <v>5782.6</v>
      </c>
      <c r="H129" s="24">
        <f t="shared" si="105"/>
        <v>5.7826000000000004</v>
      </c>
      <c r="I129" s="24">
        <f t="shared" si="106"/>
        <v>137.33675000000002</v>
      </c>
      <c r="J129" s="33">
        <f t="shared" si="107"/>
        <v>0.13138043807556113</v>
      </c>
      <c r="K129" s="33">
        <f t="shared" si="100"/>
        <v>131.38043807556113</v>
      </c>
      <c r="L129" s="24">
        <v>3257116.26</v>
      </c>
      <c r="M129" s="33">
        <f t="shared" si="108"/>
        <v>1882.6131982799996</v>
      </c>
      <c r="N129" s="33">
        <f t="shared" si="109"/>
        <v>5395.615580934118</v>
      </c>
      <c r="O129" s="33">
        <f t="shared" si="110"/>
        <v>3.125217107673945E-5</v>
      </c>
      <c r="P129" s="33">
        <f t="shared" si="111"/>
        <v>0.33724940239934792</v>
      </c>
      <c r="Q129" s="15"/>
      <c r="R129" s="33">
        <f t="shared" si="76"/>
        <v>20498.022388059704</v>
      </c>
      <c r="S129" s="33">
        <f t="shared" si="77"/>
        <v>1.6034104565371935E-5</v>
      </c>
      <c r="T129" s="33">
        <f t="shared" si="98"/>
        <v>0.65733486870696844</v>
      </c>
      <c r="U129" s="33">
        <f t="shared" si="78"/>
        <v>0.26322615317647013</v>
      </c>
      <c r="V129" s="33">
        <f t="shared" si="79"/>
        <v>26.322615317647013</v>
      </c>
      <c r="W129" s="13"/>
      <c r="X129" s="13"/>
      <c r="Y129" s="24">
        <v>15.35</v>
      </c>
      <c r="Z129" s="24">
        <f t="shared" si="112"/>
        <v>15.330352906618677</v>
      </c>
      <c r="AA129" s="24">
        <f t="shared" si="113"/>
        <v>7.6651764533093383</v>
      </c>
      <c r="AC129" s="13"/>
      <c r="AD129" s="33">
        <f t="shared" si="101"/>
        <v>0.42481973660763778</v>
      </c>
      <c r="AE129" s="13"/>
      <c r="AF129" s="33">
        <f t="shared" si="102"/>
        <v>22.728510113808163</v>
      </c>
      <c r="AG129" s="15"/>
      <c r="AH129" s="15">
        <f t="shared" si="114"/>
        <v>8.0939856575843496</v>
      </c>
    </row>
    <row r="130" spans="1:56" x14ac:dyDescent="0.25">
      <c r="A130" s="24">
        <v>9</v>
      </c>
      <c r="B130" s="27"/>
      <c r="C130" s="24">
        <v>24.103050649783441</v>
      </c>
      <c r="D130" s="24"/>
      <c r="E130" s="33">
        <f t="shared" si="103"/>
        <v>24.062520159946718</v>
      </c>
      <c r="F130" s="33">
        <f t="shared" si="104"/>
        <v>24.140019159946718</v>
      </c>
      <c r="G130" s="24">
        <v>5873.73</v>
      </c>
      <c r="H130" s="24">
        <f t="shared" si="105"/>
        <v>5.8737299999999992</v>
      </c>
      <c r="I130" s="24">
        <f t="shared" si="106"/>
        <v>139.50108749999998</v>
      </c>
      <c r="J130" s="33">
        <f t="shared" si="107"/>
        <v>0.17304538331965849</v>
      </c>
      <c r="K130" s="33">
        <f t="shared" si="100"/>
        <v>173.0453833196585</v>
      </c>
      <c r="L130" s="24">
        <v>3738038.75</v>
      </c>
      <c r="M130" s="33">
        <f t="shared" si="108"/>
        <v>2160.5863974999997</v>
      </c>
      <c r="N130" s="33">
        <f t="shared" si="109"/>
        <v>6192.2935847661438</v>
      </c>
      <c r="O130" s="33">
        <f t="shared" si="110"/>
        <v>3.3743101106203222E-5</v>
      </c>
      <c r="P130" s="33">
        <f t="shared" si="111"/>
        <v>0.41789437702011517</v>
      </c>
      <c r="Q130" s="15"/>
      <c r="R130" s="33">
        <f t="shared" si="76"/>
        <v>20821.057835820891</v>
      </c>
      <c r="S130" s="33">
        <f t="shared" si="77"/>
        <v>1.8401760214132271E-5</v>
      </c>
      <c r="T130" s="33">
        <f t="shared" si="98"/>
        <v>0.76628822739871172</v>
      </c>
      <c r="U130" s="33">
        <f t="shared" si="78"/>
        <v>0.29740533039165856</v>
      </c>
      <c r="V130" s="33">
        <f t="shared" si="79"/>
        <v>29.740533039165857</v>
      </c>
      <c r="W130" s="13"/>
      <c r="X130" s="13"/>
      <c r="Y130" s="24">
        <v>19.66</v>
      </c>
      <c r="Z130" s="24">
        <f t="shared" si="112"/>
        <v>19.640352906618677</v>
      </c>
      <c r="AA130" s="24">
        <f t="shared" si="113"/>
        <v>9.8201764533093385</v>
      </c>
      <c r="AC130" s="13"/>
      <c r="AD130" s="33">
        <f t="shared" si="101"/>
        <v>0.40680069010065417</v>
      </c>
      <c r="AE130" s="13"/>
      <c r="AF130" s="33">
        <f t="shared" si="102"/>
        <v>23.499183031210418</v>
      </c>
      <c r="AG130" s="15"/>
      <c r="AH130" s="15">
        <f t="shared" si="114"/>
        <v>10.029465048482765</v>
      </c>
    </row>
    <row r="131" spans="1:56" x14ac:dyDescent="0.25">
      <c r="A131" s="24">
        <v>10</v>
      </c>
      <c r="B131" s="27"/>
      <c r="C131" s="24">
        <v>30.04796934355258</v>
      </c>
      <c r="D131" s="24"/>
      <c r="E131" s="33">
        <f t="shared" si="103"/>
        <v>30.007438853715858</v>
      </c>
      <c r="F131" s="33">
        <f t="shared" si="104"/>
        <v>30.084937853715857</v>
      </c>
      <c r="G131" s="24">
        <v>5969.1</v>
      </c>
      <c r="H131" s="24">
        <f t="shared" si="105"/>
        <v>5.9691000000000001</v>
      </c>
      <c r="I131" s="24">
        <f t="shared" si="106"/>
        <v>141.76612499999999</v>
      </c>
      <c r="J131" s="33">
        <f t="shared" si="107"/>
        <v>0.21221527959317404</v>
      </c>
      <c r="K131" s="33">
        <f t="shared" si="100"/>
        <v>212.21527959317405</v>
      </c>
      <c r="L131" s="24">
        <v>4161538.88</v>
      </c>
      <c r="M131" s="33">
        <f t="shared" si="108"/>
        <v>2405.3694726399999</v>
      </c>
      <c r="N131" s="33">
        <f t="shared" si="109"/>
        <v>6893.8478792866681</v>
      </c>
      <c r="O131" s="33">
        <f t="shared" si="110"/>
        <v>3.570143467063737E-5</v>
      </c>
      <c r="P131" s="33">
        <f t="shared" si="111"/>
        <v>0.49224051938332991</v>
      </c>
      <c r="Q131" s="15"/>
      <c r="R131" s="33">
        <f t="shared" si="76"/>
        <v>21159.123134328358</v>
      </c>
      <c r="S131" s="33">
        <f t="shared" si="77"/>
        <v>2.0378287437648326E-5</v>
      </c>
      <c r="T131" s="33">
        <f t="shared" si="98"/>
        <v>0.86237338631987526</v>
      </c>
      <c r="U131" s="33">
        <f t="shared" si="78"/>
        <v>0.32580971505866213</v>
      </c>
      <c r="V131" s="33">
        <f t="shared" si="79"/>
        <v>32.580971505866216</v>
      </c>
      <c r="W131" s="13"/>
      <c r="X131" s="13"/>
      <c r="Y131" s="24">
        <v>23.71</v>
      </c>
      <c r="Z131" s="24">
        <f>Y131-$Y$120</f>
        <v>23.690352906618678</v>
      </c>
      <c r="AA131" s="24">
        <f t="shared" si="113"/>
        <v>11.845176453309339</v>
      </c>
      <c r="AC131" s="13"/>
      <c r="AD131" s="33">
        <f t="shared" si="101"/>
        <v>0.39372447803964183</v>
      </c>
      <c r="AE131" s="13"/>
      <c r="AF131" s="33">
        <f t="shared" si="102"/>
        <v>24.063798055773148</v>
      </c>
      <c r="AG131" s="15"/>
      <c r="AH131" s="15">
        <f t="shared" si="114"/>
        <v>11.813772465199918</v>
      </c>
    </row>
    <row r="132" spans="1:56" x14ac:dyDescent="0.25">
      <c r="A132" s="24">
        <v>11</v>
      </c>
      <c r="B132" s="27"/>
      <c r="C132" s="24">
        <v>35.960573808729812</v>
      </c>
      <c r="D132" s="24"/>
      <c r="E132" s="33">
        <f t="shared" si="103"/>
        <v>35.920043318893093</v>
      </c>
      <c r="F132" s="33">
        <f t="shared" si="104"/>
        <v>35.997542318893096</v>
      </c>
      <c r="G132" s="24">
        <v>6075.3</v>
      </c>
      <c r="H132" s="24">
        <f t="shared" si="105"/>
        <v>6.0753000000000004</v>
      </c>
      <c r="I132" s="24">
        <f t="shared" si="106"/>
        <v>144.288375</v>
      </c>
      <c r="J132" s="33">
        <f t="shared" si="107"/>
        <v>0.24948331644107224</v>
      </c>
      <c r="K132" s="33">
        <f t="shared" si="100"/>
        <v>249.48331644107225</v>
      </c>
      <c r="L132" s="24">
        <v>4518806.26</v>
      </c>
      <c r="M132" s="33">
        <f t="shared" si="108"/>
        <v>2611.8700182799994</v>
      </c>
      <c r="N132" s="33">
        <f t="shared" si="109"/>
        <v>7485.6835057151529</v>
      </c>
      <c r="O132" s="33">
        <f t="shared" si="110"/>
        <v>3.7476813040551278E-5</v>
      </c>
      <c r="P132" s="33">
        <f t="shared" si="111"/>
        <v>0.5610791224488505</v>
      </c>
      <c r="Q132" s="15"/>
      <c r="R132" s="33">
        <f t="shared" si="76"/>
        <v>21535.578358208957</v>
      </c>
      <c r="S132" s="33">
        <f t="shared" si="77"/>
        <v>2.2095310703160334E-5</v>
      </c>
      <c r="T132" s="33">
        <f t="shared" si="98"/>
        <v>0.95167058999376486</v>
      </c>
      <c r="U132" s="33">
        <f t="shared" si="78"/>
        <v>0.34759612122800276</v>
      </c>
      <c r="V132" s="33">
        <f t="shared" si="79"/>
        <v>34.759612122800277</v>
      </c>
      <c r="W132" s="13"/>
      <c r="X132" s="13"/>
      <c r="Y132" s="24">
        <v>27.53</v>
      </c>
      <c r="Z132" s="24">
        <f t="shared" si="112"/>
        <v>27.510352906618678</v>
      </c>
      <c r="AA132" s="24">
        <f t="shared" si="113"/>
        <v>13.755176453309339</v>
      </c>
      <c r="AC132" s="13"/>
      <c r="AD132" s="33">
        <f t="shared" si="101"/>
        <v>0.38211432134604412</v>
      </c>
      <c r="AE132" s="13"/>
      <c r="AF132" s="33">
        <f t="shared" si="102"/>
        <v>24.515573477898027</v>
      </c>
      <c r="AG132" s="15"/>
      <c r="AH132" s="15">
        <f t="shared" si="114"/>
        <v>13.465898938772412</v>
      </c>
    </row>
    <row r="133" spans="1:56" x14ac:dyDescent="0.25">
      <c r="A133" s="24">
        <v>12</v>
      </c>
      <c r="B133" s="27"/>
      <c r="C133" s="24">
        <v>42.132676107963299</v>
      </c>
      <c r="D133" s="24"/>
      <c r="E133" s="33">
        <f t="shared" si="103"/>
        <v>42.09214561812658</v>
      </c>
      <c r="F133" s="33">
        <f t="shared" si="104"/>
        <v>42.169644618126583</v>
      </c>
      <c r="G133" s="24">
        <v>6183.16</v>
      </c>
      <c r="H133" s="24">
        <f t="shared" si="105"/>
        <v>6.18316</v>
      </c>
      <c r="I133" s="24">
        <f t="shared" si="106"/>
        <v>146.85005000000001</v>
      </c>
      <c r="J133" s="33">
        <f t="shared" si="107"/>
        <v>0.2871612547501794</v>
      </c>
      <c r="K133" s="33">
        <f t="shared" si="100"/>
        <v>287.16125475017941</v>
      </c>
      <c r="L133" s="24">
        <v>4835846.0199999996</v>
      </c>
      <c r="M133" s="33">
        <f t="shared" si="108"/>
        <v>2795.1189995599993</v>
      </c>
      <c r="N133" s="33">
        <f t="shared" si="109"/>
        <v>8010.8795786461251</v>
      </c>
      <c r="O133" s="33">
        <f t="shared" si="110"/>
        <v>3.9210449966681298E-5</v>
      </c>
      <c r="P133" s="33">
        <f t="shared" si="111"/>
        <v>0.62822038581522566</v>
      </c>
      <c r="Q133" s="15"/>
      <c r="R133" s="33">
        <f t="shared" si="76"/>
        <v>21917.917910447759</v>
      </c>
      <c r="S133" s="33">
        <f t="shared" si="77"/>
        <v>2.3705126641764154E-5</v>
      </c>
      <c r="T133" s="33">
        <f t="shared" si="98"/>
        <v>1.0391340395819098</v>
      </c>
      <c r="U133" s="33">
        <f t="shared" si="78"/>
        <v>0.36549455159823946</v>
      </c>
      <c r="V133" s="33">
        <f t="shared" si="79"/>
        <v>36.549455159823943</v>
      </c>
      <c r="W133" s="13"/>
      <c r="X133" s="13"/>
      <c r="Y133" s="24">
        <v>31.72</v>
      </c>
      <c r="Z133" s="24">
        <f t="shared" si="112"/>
        <v>31.700352906618676</v>
      </c>
      <c r="AA133" s="24">
        <f t="shared" si="113"/>
        <v>15.850176453309338</v>
      </c>
      <c r="AC133" s="13"/>
      <c r="AD133" s="33">
        <f t="shared" si="101"/>
        <v>0.37586696774049061</v>
      </c>
      <c r="AE133" s="13"/>
      <c r="AF133" s="33">
        <f t="shared" si="102"/>
        <v>25.230280346189286</v>
      </c>
      <c r="AG133" s="15"/>
      <c r="AH133" s="15">
        <f t="shared" si="114"/>
        <v>15.077289259565415</v>
      </c>
    </row>
    <row r="134" spans="1:56" x14ac:dyDescent="0.25">
      <c r="A134" s="25">
        <v>13</v>
      </c>
      <c r="B134" s="28"/>
      <c r="C134" s="25">
        <v>48.079979340219893</v>
      </c>
      <c r="D134" s="25"/>
      <c r="E134" s="25">
        <f t="shared" si="103"/>
        <v>48.039448850383174</v>
      </c>
      <c r="F134" s="25">
        <f t="shared" si="104"/>
        <v>48.116947850383177</v>
      </c>
      <c r="G134" s="25">
        <v>6295.48</v>
      </c>
      <c r="H134" s="25">
        <f t="shared" si="105"/>
        <v>6.2954799999999995</v>
      </c>
      <c r="I134" s="25">
        <f t="shared" si="106"/>
        <v>149.51764999999997</v>
      </c>
      <c r="J134" s="25">
        <f t="shared" si="107"/>
        <v>0.32181450049798926</v>
      </c>
      <c r="K134" s="25">
        <f t="shared" si="100"/>
        <v>321.81450049798929</v>
      </c>
      <c r="L134" s="25">
        <v>5163750.7699999996</v>
      </c>
      <c r="M134" s="25">
        <f t="shared" si="108"/>
        <v>2984.6479450599995</v>
      </c>
      <c r="N134" s="25">
        <f>M134*($F$5/$F$14)</f>
        <v>8554.0741829929502</v>
      </c>
      <c r="O134" s="25">
        <f t="shared" si="110"/>
        <v>4.0532602245618648E-5</v>
      </c>
      <c r="P134" s="25">
        <f t="shared" si="111"/>
        <v>0.69343777287753705</v>
      </c>
      <c r="Q134" s="15"/>
      <c r="R134" s="25">
        <f t="shared" si="76"/>
        <v>22316.067164179101</v>
      </c>
      <c r="S134" s="25">
        <f t="shared" si="77"/>
        <v>2.509470895237748E-5</v>
      </c>
      <c r="T134" s="25">
        <f t="shared" si="98"/>
        <v>1.1200304208935647</v>
      </c>
      <c r="U134" s="25">
        <f t="shared" si="78"/>
        <v>0.38331459213044594</v>
      </c>
      <c r="V134" s="33">
        <f t="shared" si="79"/>
        <v>38.331459213044596</v>
      </c>
      <c r="W134" s="13"/>
      <c r="X134" s="13"/>
      <c r="Y134" s="25">
        <v>35.869999999999997</v>
      </c>
      <c r="Z134" s="25">
        <f>Y134-$Y$120</f>
        <v>35.850352906618674</v>
      </c>
      <c r="AA134" s="25">
        <f>Z134/2</f>
        <v>17.925176453309337</v>
      </c>
      <c r="AB134" s="15"/>
      <c r="AC134" s="13"/>
      <c r="AD134" s="25">
        <f t="shared" si="101"/>
        <v>0.37253353036952014</v>
      </c>
      <c r="AE134" s="2"/>
      <c r="AF134" s="25">
        <f t="shared" si="102"/>
        <v>25.84972603803481</v>
      </c>
      <c r="AG134" s="2"/>
      <c r="AH134" s="15">
        <f t="shared" si="114"/>
        <v>16.64250654906089</v>
      </c>
    </row>
    <row r="135" spans="1:56" x14ac:dyDescent="0.25">
      <c r="O135" s="33"/>
      <c r="Q135" s="15"/>
      <c r="R135" s="33"/>
      <c r="S135" s="33"/>
      <c r="T135" s="33"/>
      <c r="U135" s="33"/>
      <c r="V135" s="33"/>
      <c r="AF135" s="33"/>
      <c r="AG135" s="15"/>
      <c r="AH135" s="15"/>
    </row>
    <row r="136" spans="1:56" s="13" customFormat="1" x14ac:dyDescent="0.25">
      <c r="L136" s="15"/>
      <c r="O136" s="33"/>
      <c r="Q136" s="15"/>
      <c r="R136" s="33"/>
      <c r="S136" s="33"/>
      <c r="T136" s="33"/>
      <c r="U136" s="33"/>
      <c r="V136" s="33"/>
      <c r="Y136" s="10" t="s">
        <v>28</v>
      </c>
      <c r="Z136" s="10" t="s">
        <v>28</v>
      </c>
      <c r="AA136" s="10" t="s">
        <v>28</v>
      </c>
      <c r="AF136" s="33"/>
      <c r="AG136" s="15"/>
      <c r="AH136" s="15"/>
    </row>
    <row r="137" spans="1:56" s="13" customFormat="1" x14ac:dyDescent="0.25">
      <c r="A137" s="18" t="s">
        <v>22</v>
      </c>
      <c r="B137" s="18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5"/>
      <c r="P137" s="2"/>
      <c r="Q137" s="15"/>
      <c r="R137" s="25"/>
      <c r="S137" s="33"/>
      <c r="T137" s="33"/>
      <c r="U137" s="33"/>
      <c r="V137" s="33"/>
      <c r="Y137" s="18" t="s">
        <v>27</v>
      </c>
      <c r="Z137" s="18" t="s">
        <v>29</v>
      </c>
      <c r="AA137" s="18" t="s">
        <v>30</v>
      </c>
      <c r="AB137" s="26"/>
      <c r="AD137" s="18" t="s">
        <v>14</v>
      </c>
      <c r="AE137" s="2"/>
      <c r="AF137" s="20" t="s">
        <v>17</v>
      </c>
      <c r="AG137" s="2"/>
      <c r="AH137" s="18" t="s">
        <v>16</v>
      </c>
      <c r="AO137" s="18" t="s">
        <v>60</v>
      </c>
      <c r="AP137" s="18"/>
      <c r="AQ137" s="2"/>
      <c r="AR137" s="2"/>
      <c r="AS137" s="2"/>
      <c r="AW137" s="18" t="s">
        <v>61</v>
      </c>
      <c r="AX137" s="18"/>
      <c r="AY137" s="2"/>
      <c r="AZ137" s="2"/>
      <c r="BA137" s="2"/>
      <c r="BD137" s="2"/>
    </row>
    <row r="138" spans="1:56" ht="18.75" x14ac:dyDescent="0.35">
      <c r="A138" s="18" t="s">
        <v>0</v>
      </c>
      <c r="B138" s="18"/>
      <c r="C138" s="18" t="s">
        <v>12</v>
      </c>
      <c r="D138" s="18"/>
      <c r="E138" s="18" t="s">
        <v>13</v>
      </c>
      <c r="F138" s="18" t="s">
        <v>1</v>
      </c>
      <c r="G138" s="18" t="s">
        <v>19</v>
      </c>
      <c r="H138" s="18" t="s">
        <v>2</v>
      </c>
      <c r="I138" s="18" t="s">
        <v>3</v>
      </c>
      <c r="J138" s="20" t="s">
        <v>4</v>
      </c>
      <c r="K138" s="20" t="s">
        <v>15</v>
      </c>
      <c r="L138" s="18" t="s">
        <v>33</v>
      </c>
      <c r="M138" s="18" t="s">
        <v>34</v>
      </c>
      <c r="N138" s="18" t="s">
        <v>35</v>
      </c>
      <c r="O138" s="18" t="s">
        <v>9</v>
      </c>
      <c r="P138" s="18" t="s">
        <v>40</v>
      </c>
      <c r="Q138" s="26"/>
      <c r="R138" s="18" t="s">
        <v>43</v>
      </c>
      <c r="S138" s="20" t="s">
        <v>41</v>
      </c>
      <c r="T138" s="21" t="s">
        <v>42</v>
      </c>
      <c r="U138" s="21" t="s">
        <v>44</v>
      </c>
      <c r="V138" s="33"/>
      <c r="W138" s="13"/>
      <c r="X138" s="35" t="s">
        <v>32</v>
      </c>
      <c r="Y138" s="34">
        <v>3.7614597880425503E-2</v>
      </c>
      <c r="Z138" s="19"/>
      <c r="AA138" s="19"/>
      <c r="AB138" s="15"/>
      <c r="AC138" s="13"/>
      <c r="AD138" s="19"/>
      <c r="AE138" s="19"/>
      <c r="AF138" s="19"/>
      <c r="AG138" s="19"/>
      <c r="AH138" s="19"/>
      <c r="AI138" s="13"/>
      <c r="AJ138" s="13"/>
      <c r="AK138" s="13"/>
      <c r="AL138" s="13"/>
      <c r="AM138" s="13"/>
      <c r="AN138" s="13"/>
      <c r="AO138" s="19"/>
      <c r="AP138" s="20" t="s">
        <v>48</v>
      </c>
      <c r="AQ138" s="20"/>
      <c r="AR138" s="20" t="s">
        <v>47</v>
      </c>
      <c r="AS138" s="20"/>
      <c r="AW138" s="19"/>
      <c r="AX138" s="20" t="s">
        <v>48</v>
      </c>
      <c r="AY138" s="20"/>
      <c r="AZ138" s="20" t="s">
        <v>47</v>
      </c>
      <c r="BA138" s="20"/>
      <c r="BD138" s="2" t="s">
        <v>59</v>
      </c>
    </row>
    <row r="139" spans="1:56" s="13" customFormat="1" ht="18" x14ac:dyDescent="0.35">
      <c r="A139" s="24">
        <v>0</v>
      </c>
      <c r="B139" s="27"/>
      <c r="C139" s="24">
        <v>-1.9925024991669496E-2</v>
      </c>
      <c r="D139" s="24"/>
      <c r="E139" s="24">
        <f>C139-$C$139</f>
        <v>0</v>
      </c>
      <c r="F139" s="32">
        <f>E139+($F$2*9.81)</f>
        <v>7.7499000000000012E-2</v>
      </c>
      <c r="G139" s="24">
        <v>5852.54</v>
      </c>
      <c r="H139" s="24">
        <f>G139/1000</f>
        <v>5.8525400000000003</v>
      </c>
      <c r="I139" s="24">
        <f>H139*$F$5</f>
        <v>138.99782500000001</v>
      </c>
      <c r="J139" s="33">
        <f t="shared" ref="J139:J152" si="115">F139/I139</f>
        <v>5.5755548692938185E-4</v>
      </c>
      <c r="K139" s="33">
        <f t="shared" ref="K139:K152" si="116">J139*1000</f>
        <v>0.55755548692938184</v>
      </c>
      <c r="L139" s="24">
        <v>25757</v>
      </c>
      <c r="M139" s="32">
        <f>((L139*$F$6)/1000)</f>
        <v>14.887545999999999</v>
      </c>
      <c r="N139" s="32">
        <f>M139*($F$5/$F$14)</f>
        <v>42.668071823177748</v>
      </c>
      <c r="O139" s="33">
        <f t="shared" si="110"/>
        <v>2.3032363070445811E-5</v>
      </c>
      <c r="P139" s="32">
        <f>2*O139*N139</f>
        <v>1.9654930434945773E-3</v>
      </c>
      <c r="Q139" s="15"/>
      <c r="R139" s="33">
        <f t="shared" si="76"/>
        <v>20745.944029850747</v>
      </c>
      <c r="S139" s="33">
        <f t="shared" si="77"/>
        <v>1.0445359835270744E-6</v>
      </c>
      <c r="T139" s="33">
        <f t="shared" si="98"/>
        <v>4.3339770102835573E-2</v>
      </c>
      <c r="U139" s="33">
        <f t="shared" si="78"/>
        <v>2.0566946368786049E-3</v>
      </c>
      <c r="V139" s="33">
        <f t="shared" si="79"/>
        <v>0.20566946368786049</v>
      </c>
      <c r="Y139" s="24">
        <v>0.34</v>
      </c>
      <c r="Z139" s="24">
        <f>Y139-$Y$138</f>
        <v>0.30238540211957454</v>
      </c>
      <c r="AA139" s="24">
        <f>Z139/2</f>
        <v>0.15119270105978727</v>
      </c>
      <c r="AD139" s="32">
        <f t="shared" ref="AD139:AD152" si="117">AA139/F139</f>
        <v>1.9508987349486735</v>
      </c>
      <c r="AF139" s="33">
        <f t="shared" ref="AF139:AF152" si="118">AA139/P139</f>
        <v>76.923549315123481</v>
      </c>
      <c r="AG139" s="15"/>
      <c r="AH139" s="38">
        <f>P139*25</f>
        <v>4.913732608736443E-2</v>
      </c>
      <c r="AO139" s="10" t="s">
        <v>55</v>
      </c>
      <c r="AP139" s="13">
        <v>0.748</v>
      </c>
      <c r="AR139" s="13">
        <v>0.69169999999999998</v>
      </c>
      <c r="AS139" s="13">
        <v>0.8044</v>
      </c>
      <c r="AW139" s="46" t="s">
        <v>57</v>
      </c>
      <c r="AX139" s="13">
        <v>3.2770000000000001E-2</v>
      </c>
      <c r="AZ139" s="13">
        <v>2.9329999999999998E-2</v>
      </c>
      <c r="BA139" s="13">
        <v>3.6209999999999999E-2</v>
      </c>
      <c r="BD139" s="13">
        <f>AP139/AX139</f>
        <v>22.825755263960939</v>
      </c>
    </row>
    <row r="140" spans="1:56" s="13" customFormat="1" ht="18" x14ac:dyDescent="0.35">
      <c r="A140" s="24">
        <v>1</v>
      </c>
      <c r="B140" s="27"/>
      <c r="C140" s="24">
        <v>0.78963845384871489</v>
      </c>
      <c r="D140" s="24"/>
      <c r="E140" s="24">
        <f t="shared" ref="E140:E152" si="119">C140-$C$139</f>
        <v>0.80956347884038438</v>
      </c>
      <c r="F140" s="33">
        <f t="shared" ref="F140:F152" si="120">E140+($F$2*9.81)</f>
        <v>0.88706247884038436</v>
      </c>
      <c r="G140" s="24">
        <v>5867.86</v>
      </c>
      <c r="H140" s="24">
        <f t="shared" ref="H140:H152" si="121">G140/1000</f>
        <v>5.8678599999999994</v>
      </c>
      <c r="I140" s="24">
        <f t="shared" ref="I140:I152" si="122">H140*$F$5</f>
        <v>139.36167499999999</v>
      </c>
      <c r="J140" s="33">
        <f t="shared" si="115"/>
        <v>6.3651823849016197E-3</v>
      </c>
      <c r="K140" s="33">
        <f t="shared" si="116"/>
        <v>6.3651823849016198</v>
      </c>
      <c r="L140" s="24">
        <v>114498.25</v>
      </c>
      <c r="M140" s="33">
        <f t="shared" ref="M140:M152" si="123">((L140*$F$6)/1000)</f>
        <v>66.179988499999993</v>
      </c>
      <c r="N140" s="33">
        <f t="shared" ref="N140:N152" si="124">M140*($F$5/$F$14)</f>
        <v>189.67346952782395</v>
      </c>
      <c r="O140" s="33">
        <f t="shared" si="110"/>
        <v>3.6958621810412873E-5</v>
      </c>
      <c r="P140" s="33">
        <f t="shared" ref="P140:P152" si="125">2*O140*N140</f>
        <v>1.4020140055495432E-2</v>
      </c>
      <c r="Q140" s="15"/>
      <c r="R140" s="33">
        <f t="shared" si="76"/>
        <v>20800.249999999996</v>
      </c>
      <c r="S140" s="33">
        <f t="shared" si="77"/>
        <v>3.5292691897461697E-6</v>
      </c>
      <c r="T140" s="33">
        <f t="shared" si="98"/>
        <v>0.14681936292803552</v>
      </c>
      <c r="U140" s="33">
        <f t="shared" si="78"/>
        <v>9.1188072031741924E-3</v>
      </c>
      <c r="V140" s="33">
        <f t="shared" si="79"/>
        <v>0.91188072031741929</v>
      </c>
      <c r="Y140" s="24">
        <v>1.22</v>
      </c>
      <c r="Z140" s="24">
        <f t="shared" ref="Z140:Z152" si="126">Y140-$Y$138</f>
        <v>1.1823854021195745</v>
      </c>
      <c r="AA140" s="24">
        <f t="shared" ref="AA140:AA151" si="127">Z140/2</f>
        <v>0.59119270105978727</v>
      </c>
      <c r="AD140" s="33">
        <f t="shared" si="117"/>
        <v>0.66646117400053495</v>
      </c>
      <c r="AF140" s="33">
        <f t="shared" si="118"/>
        <v>42.16738910736197</v>
      </c>
      <c r="AG140" s="15"/>
      <c r="AH140" s="15">
        <f>P140*25</f>
        <v>0.35050350138738579</v>
      </c>
      <c r="AO140" s="10" t="s">
        <v>56</v>
      </c>
      <c r="AP140" s="13">
        <v>0.8115</v>
      </c>
      <c r="AR140" s="13">
        <v>0.79020000000000001</v>
      </c>
      <c r="AS140" s="13">
        <v>0.83279999999999998</v>
      </c>
      <c r="AW140" s="46" t="s">
        <v>58</v>
      </c>
      <c r="AX140" s="13">
        <v>0.7853</v>
      </c>
      <c r="AZ140" s="13">
        <v>0.75549999999999995</v>
      </c>
      <c r="BA140" s="13">
        <v>0.81510000000000005</v>
      </c>
    </row>
    <row r="141" spans="1:56" x14ac:dyDescent="0.25">
      <c r="A141" s="24">
        <v>2</v>
      </c>
      <c r="B141" s="27"/>
      <c r="C141" s="24">
        <v>1.5290346551149727</v>
      </c>
      <c r="D141" s="24"/>
      <c r="E141" s="24">
        <f t="shared" si="119"/>
        <v>1.5489596801066423</v>
      </c>
      <c r="F141" s="33">
        <f t="shared" si="120"/>
        <v>1.6264586801066423</v>
      </c>
      <c r="G141" s="24">
        <v>5907.93</v>
      </c>
      <c r="H141" s="24">
        <f t="shared" si="121"/>
        <v>5.9079300000000003</v>
      </c>
      <c r="I141" s="24">
        <f t="shared" si="122"/>
        <v>140.31333750000002</v>
      </c>
      <c r="J141" s="33">
        <f t="shared" si="115"/>
        <v>1.1591618509584964E-2</v>
      </c>
      <c r="K141" s="33">
        <f t="shared" si="116"/>
        <v>11.591618509584965</v>
      </c>
      <c r="L141" s="24">
        <v>362102.88</v>
      </c>
      <c r="M141" s="33">
        <f t="shared" si="123"/>
        <v>209.29546463999998</v>
      </c>
      <c r="N141" s="33">
        <f t="shared" si="124"/>
        <v>599.84593280349088</v>
      </c>
      <c r="O141" s="33">
        <f t="shared" si="110"/>
        <v>2.8141264968203798E-5</v>
      </c>
      <c r="P141" s="33">
        <f t="shared" si="125"/>
        <v>3.3760846670244815E-2</v>
      </c>
      <c r="Q141" s="15"/>
      <c r="R141" s="33">
        <f t="shared" si="76"/>
        <v>20942.289179104479</v>
      </c>
      <c r="S141" s="33">
        <f t="shared" si="77"/>
        <v>4.7626799545803286E-6</v>
      </c>
      <c r="T141" s="33">
        <f t="shared" si="98"/>
        <v>0.19948284175269085</v>
      </c>
      <c r="U141" s="33">
        <f t="shared" si="78"/>
        <v>2.8642806317563281E-2</v>
      </c>
      <c r="V141" s="33">
        <f t="shared" si="79"/>
        <v>2.8642806317563281</v>
      </c>
      <c r="W141" s="13"/>
      <c r="X141" s="13"/>
      <c r="Y141" s="24">
        <v>2.09</v>
      </c>
      <c r="Z141" s="24">
        <f t="shared" si="126"/>
        <v>2.0523854021195742</v>
      </c>
      <c r="AA141" s="24">
        <f t="shared" si="127"/>
        <v>1.0261927010597871</v>
      </c>
      <c r="AC141" s="13"/>
      <c r="AD141" s="33">
        <f t="shared" si="117"/>
        <v>0.63093684064110533</v>
      </c>
      <c r="AE141" s="13"/>
      <c r="AF141" s="33">
        <f t="shared" si="118"/>
        <v>30.395940927755937</v>
      </c>
      <c r="AG141" s="15"/>
      <c r="AH141" s="15">
        <f t="shared" ref="AH141:AH152" si="128">P141*25</f>
        <v>0.84402116675612038</v>
      </c>
    </row>
    <row r="142" spans="1:56" x14ac:dyDescent="0.25">
      <c r="A142" s="24">
        <v>3</v>
      </c>
      <c r="B142" s="27"/>
      <c r="C142" s="24">
        <v>3.1339380206597838</v>
      </c>
      <c r="D142" s="24"/>
      <c r="E142" s="24">
        <f t="shared" si="119"/>
        <v>3.1538630456514531</v>
      </c>
      <c r="F142" s="33">
        <f t="shared" si="120"/>
        <v>3.2313620456514531</v>
      </c>
      <c r="G142" s="24">
        <v>5944.15</v>
      </c>
      <c r="H142" s="24">
        <f t="shared" si="121"/>
        <v>5.9441499999999996</v>
      </c>
      <c r="I142" s="24">
        <f t="shared" si="122"/>
        <v>141.1735625</v>
      </c>
      <c r="J142" s="33">
        <f t="shared" si="115"/>
        <v>2.2889285985479419E-2</v>
      </c>
      <c r="K142" s="33">
        <f t="shared" si="116"/>
        <v>22.889285985479418</v>
      </c>
      <c r="L142" s="24">
        <v>742501.88</v>
      </c>
      <c r="M142" s="33">
        <f t="shared" si="123"/>
        <v>429.16608664</v>
      </c>
      <c r="N142" s="33">
        <f t="shared" si="124"/>
        <v>1230.000525864212</v>
      </c>
      <c r="O142" s="33">
        <f t="shared" si="110"/>
        <v>2.770014985563642E-5</v>
      </c>
      <c r="P142" s="33">
        <f t="shared" si="125"/>
        <v>6.8142397777900543E-2</v>
      </c>
      <c r="Q142" s="15"/>
      <c r="R142" s="33">
        <f t="shared" si="76"/>
        <v>21070.680970149253</v>
      </c>
      <c r="S142" s="33">
        <f t="shared" si="77"/>
        <v>6.6926094354428285E-6</v>
      </c>
      <c r="T142" s="33">
        <f t="shared" si="98"/>
        <v>0.28203567654405309</v>
      </c>
      <c r="U142" s="33">
        <f t="shared" si="78"/>
        <v>5.8374977420366653E-2</v>
      </c>
      <c r="V142" s="33">
        <f t="shared" si="79"/>
        <v>5.8374977420366649</v>
      </c>
      <c r="W142" s="13"/>
      <c r="X142" s="13"/>
      <c r="Y142" s="24">
        <v>3.5</v>
      </c>
      <c r="Z142" s="24">
        <f t="shared" si="126"/>
        <v>3.4623854021195744</v>
      </c>
      <c r="AA142" s="24">
        <f t="shared" si="127"/>
        <v>1.7311927010597872</v>
      </c>
      <c r="AC142" s="13"/>
      <c r="AD142" s="33">
        <f t="shared" si="117"/>
        <v>0.5357470554528263</v>
      </c>
      <c r="AE142" s="13"/>
      <c r="AF142" s="33">
        <f t="shared" si="118"/>
        <v>25.405514885201697</v>
      </c>
      <c r="AG142" s="15"/>
      <c r="AH142" s="15">
        <f t="shared" si="128"/>
        <v>1.7035599444475136</v>
      </c>
    </row>
    <row r="143" spans="1:56" x14ac:dyDescent="0.25">
      <c r="A143" s="24">
        <v>4</v>
      </c>
      <c r="B143" s="27"/>
      <c r="C143" s="24">
        <v>4.8016921026324404</v>
      </c>
      <c r="D143" s="24"/>
      <c r="E143" s="24">
        <f t="shared" si="119"/>
        <v>4.8216171276241102</v>
      </c>
      <c r="F143" s="33">
        <f t="shared" si="120"/>
        <v>4.8991161276241106</v>
      </c>
      <c r="G143" s="24">
        <v>5986.54</v>
      </c>
      <c r="H143" s="24">
        <f t="shared" si="121"/>
        <v>5.9865399999999998</v>
      </c>
      <c r="I143" s="24">
        <f t="shared" si="122"/>
        <v>142.18032499999998</v>
      </c>
      <c r="J143" s="33">
        <f t="shared" si="115"/>
        <v>3.4457060972565026E-2</v>
      </c>
      <c r="K143" s="33">
        <f t="shared" si="116"/>
        <v>34.457060972565024</v>
      </c>
      <c r="L143" s="24">
        <v>1226750.6299999999</v>
      </c>
      <c r="M143" s="33">
        <f t="shared" si="123"/>
        <v>709.0618641399999</v>
      </c>
      <c r="N143" s="33">
        <f t="shared" si="124"/>
        <v>2032.1886861811761</v>
      </c>
      <c r="O143" s="33">
        <f t="shared" si="110"/>
        <v>2.6534982755644021E-5</v>
      </c>
      <c r="P143" s="33">
        <f t="shared" si="125"/>
        <v>0.10784818348806477</v>
      </c>
      <c r="Q143" s="15"/>
      <c r="R143" s="33">
        <f t="shared" si="76"/>
        <v>21220.944029850743</v>
      </c>
      <c r="S143" s="33">
        <f t="shared" si="77"/>
        <v>8.2114239374961883E-6</v>
      </c>
      <c r="T143" s="33">
        <f t="shared" si="98"/>
        <v>0.34850833556596644</v>
      </c>
      <c r="U143" s="33">
        <f t="shared" si="78"/>
        <v>9.5763349798320421E-2</v>
      </c>
      <c r="V143" s="33">
        <f t="shared" si="79"/>
        <v>9.5763349798320423</v>
      </c>
      <c r="W143" s="13"/>
      <c r="X143" s="13"/>
      <c r="Y143" s="24">
        <v>5.33</v>
      </c>
      <c r="Z143" s="24">
        <f t="shared" si="126"/>
        <v>5.2923854021195744</v>
      </c>
      <c r="AA143" s="24">
        <f t="shared" si="127"/>
        <v>2.6461927010597872</v>
      </c>
      <c r="AC143" s="13"/>
      <c r="AD143" s="33">
        <f t="shared" si="117"/>
        <v>0.54013675775901482</v>
      </c>
      <c r="AE143" s="13"/>
      <c r="AF143" s="33">
        <f t="shared" si="118"/>
        <v>24.536275118186236</v>
      </c>
      <c r="AG143" s="15"/>
      <c r="AH143" s="15">
        <f t="shared" si="128"/>
        <v>2.6962045872016192</v>
      </c>
    </row>
    <row r="144" spans="1:56" x14ac:dyDescent="0.25">
      <c r="A144" s="24">
        <v>5</v>
      </c>
      <c r="B144" s="27"/>
      <c r="C144" s="24">
        <v>6.4347747417527525</v>
      </c>
      <c r="D144" s="24"/>
      <c r="E144" s="24">
        <f t="shared" si="119"/>
        <v>6.4546997667444224</v>
      </c>
      <c r="F144" s="33">
        <f t="shared" si="120"/>
        <v>6.5321987667444228</v>
      </c>
      <c r="G144" s="24">
        <v>6030.47</v>
      </c>
      <c r="H144" s="24">
        <f t="shared" si="121"/>
        <v>6.0304700000000002</v>
      </c>
      <c r="I144" s="24">
        <f t="shared" si="122"/>
        <v>143.22366250000002</v>
      </c>
      <c r="J144" s="33">
        <f t="shared" si="115"/>
        <v>4.5608376805364982E-2</v>
      </c>
      <c r="K144" s="33">
        <f t="shared" si="116"/>
        <v>45.608376805364983</v>
      </c>
      <c r="L144" s="24">
        <v>1686540.2599999998</v>
      </c>
      <c r="M144" s="33">
        <f t="shared" si="123"/>
        <v>974.82027027999982</v>
      </c>
      <c r="N144" s="33">
        <f t="shared" si="124"/>
        <v>2793.8587935846904</v>
      </c>
      <c r="O144" s="33">
        <f t="shared" si="110"/>
        <v>2.6131806086222295E-5</v>
      </c>
      <c r="P144" s="33">
        <f t="shared" si="125"/>
        <v>0.14601715245248417</v>
      </c>
      <c r="Q144" s="15"/>
      <c r="R144" s="33">
        <f t="shared" si="76"/>
        <v>21376.666044776117</v>
      </c>
      <c r="S144" s="33">
        <f t="shared" si="77"/>
        <v>9.4471686126319721E-6</v>
      </c>
      <c r="T144" s="33">
        <f t="shared" si="98"/>
        <v>0.40389793700184917</v>
      </c>
      <c r="U144" s="33">
        <f t="shared" si="78"/>
        <v>0.13069665717435083</v>
      </c>
      <c r="V144" s="33">
        <f t="shared" si="79"/>
        <v>13.069665717435083</v>
      </c>
      <c r="W144" s="13"/>
      <c r="X144" s="13"/>
      <c r="Y144" s="24">
        <v>7.09</v>
      </c>
      <c r="Z144" s="24">
        <f t="shared" si="126"/>
        <v>7.0523854021195742</v>
      </c>
      <c r="AA144" s="24">
        <f t="shared" si="127"/>
        <v>3.5261927010597871</v>
      </c>
      <c r="AC144" s="13"/>
      <c r="AD144" s="33">
        <f t="shared" si="117"/>
        <v>0.53981711625367512</v>
      </c>
      <c r="AE144" s="13"/>
      <c r="AF144" s="33">
        <f t="shared" si="118"/>
        <v>24.149167695947604</v>
      </c>
      <c r="AG144" s="15"/>
      <c r="AH144" s="15">
        <f t="shared" si="128"/>
        <v>3.6504288113121044</v>
      </c>
    </row>
    <row r="145" spans="1:56" x14ac:dyDescent="0.25">
      <c r="A145" s="24">
        <v>6</v>
      </c>
      <c r="B145" s="27"/>
      <c r="C145" s="24">
        <v>7.9745524825058389</v>
      </c>
      <c r="D145" s="24"/>
      <c r="E145" s="24">
        <f t="shared" si="119"/>
        <v>7.9944775074975087</v>
      </c>
      <c r="F145" s="33">
        <f t="shared" si="120"/>
        <v>8.0719765074975083</v>
      </c>
      <c r="G145" s="24">
        <v>6074.39</v>
      </c>
      <c r="H145" s="24">
        <f t="shared" si="121"/>
        <v>6.0743900000000002</v>
      </c>
      <c r="I145" s="24">
        <f t="shared" si="122"/>
        <v>144.2667625</v>
      </c>
      <c r="J145" s="33">
        <f t="shared" si="115"/>
        <v>5.595174084188316E-2</v>
      </c>
      <c r="K145" s="33">
        <f t="shared" si="116"/>
        <v>55.951740841883158</v>
      </c>
      <c r="L145" s="24">
        <v>2072112.7599999998</v>
      </c>
      <c r="M145" s="33">
        <f t="shared" si="123"/>
        <v>1197.6811752799999</v>
      </c>
      <c r="N145" s="33">
        <f t="shared" si="124"/>
        <v>3432.5836110340133</v>
      </c>
      <c r="O145" s="33">
        <f t="shared" si="110"/>
        <v>2.6207243244404028E-5</v>
      </c>
      <c r="P145" s="33">
        <f t="shared" si="125"/>
        <v>0.17991710730224625</v>
      </c>
      <c r="Q145" s="15"/>
      <c r="R145" s="33">
        <f t="shared" si="76"/>
        <v>21532.3526119403</v>
      </c>
      <c r="S145" s="33">
        <f t="shared" si="77"/>
        <v>1.0463721218511324E-5</v>
      </c>
      <c r="T145" s="33">
        <f t="shared" si="98"/>
        <v>0.45061706982005489</v>
      </c>
      <c r="U145" s="33">
        <f t="shared" si="78"/>
        <v>0.15941516809131895</v>
      </c>
      <c r="V145" s="33">
        <f t="shared" si="79"/>
        <v>15.941516809131894</v>
      </c>
      <c r="W145" s="13"/>
      <c r="X145" s="13"/>
      <c r="Y145" s="24">
        <v>8.7799999999999994</v>
      </c>
      <c r="Z145" s="24">
        <f t="shared" si="126"/>
        <v>8.7423854021195737</v>
      </c>
      <c r="AA145" s="24">
        <f t="shared" si="127"/>
        <v>4.3711927010597869</v>
      </c>
      <c r="AC145" s="13"/>
      <c r="AD145" s="33">
        <f t="shared" si="117"/>
        <v>0.5415269354413611</v>
      </c>
      <c r="AE145" s="13"/>
      <c r="AF145" s="33">
        <f t="shared" si="118"/>
        <v>24.295592379197913</v>
      </c>
      <c r="AG145" s="15"/>
      <c r="AH145" s="15">
        <f t="shared" si="128"/>
        <v>4.4979276825561563</v>
      </c>
    </row>
    <row r="146" spans="1:56" x14ac:dyDescent="0.25">
      <c r="A146" s="24">
        <v>7</v>
      </c>
      <c r="B146" s="27"/>
      <c r="C146" s="24">
        <v>12.066302232589095</v>
      </c>
      <c r="D146" s="24"/>
      <c r="E146" s="24">
        <f t="shared" si="119"/>
        <v>12.086227257580765</v>
      </c>
      <c r="F146" s="33">
        <f t="shared" si="120"/>
        <v>12.163726257580764</v>
      </c>
      <c r="G146" s="24">
        <v>6116.78</v>
      </c>
      <c r="H146" s="24">
        <f t="shared" si="121"/>
        <v>6.1167799999999994</v>
      </c>
      <c r="I146" s="24">
        <f t="shared" si="122"/>
        <v>145.27352499999998</v>
      </c>
      <c r="J146" s="33">
        <f t="shared" si="115"/>
        <v>8.3729821091494586E-2</v>
      </c>
      <c r="K146" s="33">
        <f t="shared" si="116"/>
        <v>83.729821091494586</v>
      </c>
      <c r="L146" s="24">
        <v>2470403.4</v>
      </c>
      <c r="M146" s="33">
        <f t="shared" si="123"/>
        <v>1427.8931651999999</v>
      </c>
      <c r="N146" s="33">
        <f t="shared" si="124"/>
        <v>4092.3768180852785</v>
      </c>
      <c r="O146" s="33">
        <f t="shared" si="110"/>
        <v>2.9463712513066074E-5</v>
      </c>
      <c r="P146" s="33">
        <f t="shared" si="125"/>
        <v>0.2411532281264015</v>
      </c>
      <c r="Q146" s="15"/>
      <c r="R146" s="33">
        <f t="shared" si="76"/>
        <v>21682.61567164179</v>
      </c>
      <c r="S146" s="33">
        <f t="shared" si="77"/>
        <v>1.2800279132075329E-5</v>
      </c>
      <c r="T146" s="33">
        <f t="shared" si="98"/>
        <v>0.55508706582105183</v>
      </c>
      <c r="U146" s="33">
        <f t="shared" si="78"/>
        <v>0.18873999705845484</v>
      </c>
      <c r="V146" s="33">
        <f t="shared" si="79"/>
        <v>18.873999705845485</v>
      </c>
      <c r="W146" s="13"/>
      <c r="X146" s="13"/>
      <c r="Y146" s="24">
        <v>11.6</v>
      </c>
      <c r="Z146" s="24">
        <f t="shared" si="126"/>
        <v>11.562385402119574</v>
      </c>
      <c r="AA146" s="24">
        <f t="shared" si="127"/>
        <v>5.781192701059787</v>
      </c>
      <c r="AC146" s="13"/>
      <c r="AD146" s="33">
        <f t="shared" si="117"/>
        <v>0.47528138817303545</v>
      </c>
      <c r="AE146" s="13"/>
      <c r="AF146" s="33">
        <f t="shared" si="118"/>
        <v>23.973109321304836</v>
      </c>
      <c r="AG146" s="15"/>
      <c r="AH146" s="15">
        <f t="shared" si="128"/>
        <v>6.0288307031600379</v>
      </c>
    </row>
    <row r="147" spans="1:56" x14ac:dyDescent="0.25">
      <c r="A147" s="24">
        <v>8</v>
      </c>
      <c r="B147" s="27"/>
      <c r="C147" s="24">
        <v>18.16429656781078</v>
      </c>
      <c r="D147" s="24"/>
      <c r="E147" s="24">
        <f t="shared" si="119"/>
        <v>18.184221592802448</v>
      </c>
      <c r="F147" s="33">
        <f t="shared" si="120"/>
        <v>18.261720592802448</v>
      </c>
      <c r="G147" s="24">
        <v>6179.21</v>
      </c>
      <c r="H147" s="24">
        <f t="shared" si="121"/>
        <v>6.1792100000000003</v>
      </c>
      <c r="I147" s="24">
        <f t="shared" si="122"/>
        <v>146.7562375</v>
      </c>
      <c r="J147" s="33">
        <f t="shared" si="115"/>
        <v>0.1244357371372542</v>
      </c>
      <c r="K147" s="33">
        <f t="shared" si="116"/>
        <v>124.43573713725419</v>
      </c>
      <c r="L147" s="24">
        <v>2990051.53</v>
      </c>
      <c r="M147" s="33">
        <f t="shared" si="123"/>
        <v>1728.2497843399997</v>
      </c>
      <c r="N147" s="33">
        <f t="shared" si="124"/>
        <v>4953.206252166111</v>
      </c>
      <c r="O147" s="33">
        <f t="shared" si="110"/>
        <v>3.2814787631218447E-5</v>
      </c>
      <c r="P147" s="33">
        <f t="shared" si="125"/>
        <v>0.32507682251690873</v>
      </c>
      <c r="Q147" s="15"/>
      <c r="R147" s="33">
        <f t="shared" si="76"/>
        <v>21903.916044776121</v>
      </c>
      <c r="S147" s="33">
        <f t="shared" si="77"/>
        <v>1.5604574144629072E-5</v>
      </c>
      <c r="T147" s="33">
        <f t="shared" si="98"/>
        <v>0.68360256395687868</v>
      </c>
      <c r="U147" s="33">
        <f t="shared" si="78"/>
        <v>0.22613336546947752</v>
      </c>
      <c r="V147" s="33">
        <f t="shared" si="79"/>
        <v>22.613336546947753</v>
      </c>
      <c r="W147" s="13"/>
      <c r="X147" s="13"/>
      <c r="Y147" s="24">
        <v>15.57</v>
      </c>
      <c r="Z147" s="24">
        <f t="shared" si="126"/>
        <v>15.532385402119575</v>
      </c>
      <c r="AA147" s="24">
        <f t="shared" si="127"/>
        <v>7.7661927010597873</v>
      </c>
      <c r="AC147" s="13"/>
      <c r="AD147" s="33">
        <f t="shared" si="117"/>
        <v>0.42527168574250901</v>
      </c>
      <c r="AE147" s="13"/>
      <c r="AF147" s="33">
        <f t="shared" si="118"/>
        <v>23.890330417684062</v>
      </c>
      <c r="AG147" s="15"/>
      <c r="AH147" s="15">
        <f t="shared" si="128"/>
        <v>8.1269205629227184</v>
      </c>
    </row>
    <row r="148" spans="1:56" x14ac:dyDescent="0.25">
      <c r="A148" s="24">
        <v>9</v>
      </c>
      <c r="B148" s="27"/>
      <c r="C148" s="24">
        <v>24.031816394535085</v>
      </c>
      <c r="D148" s="24"/>
      <c r="E148" s="24">
        <f t="shared" si="119"/>
        <v>24.051741419526753</v>
      </c>
      <c r="F148" s="33">
        <f t="shared" si="120"/>
        <v>24.129240419526752</v>
      </c>
      <c r="G148" s="24">
        <v>6250.88</v>
      </c>
      <c r="H148" s="24">
        <f t="shared" si="121"/>
        <v>6.2508800000000004</v>
      </c>
      <c r="I148" s="24">
        <f t="shared" si="122"/>
        <v>148.45840000000001</v>
      </c>
      <c r="J148" s="33">
        <f t="shared" si="115"/>
        <v>0.16253199832092188</v>
      </c>
      <c r="K148" s="33">
        <f t="shared" si="116"/>
        <v>162.53199832092187</v>
      </c>
      <c r="L148" s="24">
        <v>3459006.1399999997</v>
      </c>
      <c r="M148" s="33">
        <f t="shared" si="123"/>
        <v>1999.3055489199996</v>
      </c>
      <c r="N148" s="33">
        <f t="shared" si="124"/>
        <v>5730.0587187301635</v>
      </c>
      <c r="O148" s="33">
        <f t="shared" si="110"/>
        <v>3.5069877303508444E-5</v>
      </c>
      <c r="P148" s="33">
        <f t="shared" si="125"/>
        <v>0.40190491241553128</v>
      </c>
      <c r="Q148" s="15"/>
      <c r="R148" s="33">
        <f t="shared" si="76"/>
        <v>22157.970149253732</v>
      </c>
      <c r="S148" s="33">
        <f t="shared" si="77"/>
        <v>1.7834001390903271E-5</v>
      </c>
      <c r="T148" s="33">
        <f t="shared" si="98"/>
        <v>0.79033054092276844</v>
      </c>
      <c r="U148" s="33">
        <f t="shared" si="78"/>
        <v>0.25860034471267435</v>
      </c>
      <c r="V148" s="33">
        <f t="shared" si="79"/>
        <v>25.860034471267433</v>
      </c>
      <c r="W148" s="13"/>
      <c r="X148" s="13"/>
      <c r="Y148" s="24">
        <v>19.829999999999998</v>
      </c>
      <c r="Z148" s="24">
        <f t="shared" si="126"/>
        <v>19.792385402119574</v>
      </c>
      <c r="AA148" s="24">
        <f t="shared" si="127"/>
        <v>9.8961927010597872</v>
      </c>
      <c r="AC148" s="13"/>
      <c r="AD148" s="33">
        <f t="shared" si="117"/>
        <v>0.41013279029916028</v>
      </c>
      <c r="AE148" s="13"/>
      <c r="AF148" s="33">
        <f t="shared" si="118"/>
        <v>24.623219063388976</v>
      </c>
      <c r="AG148" s="15"/>
      <c r="AH148" s="15">
        <f t="shared" si="128"/>
        <v>10.047622810388281</v>
      </c>
    </row>
    <row r="149" spans="1:56" x14ac:dyDescent="0.25">
      <c r="A149" s="24">
        <v>10</v>
      </c>
      <c r="B149" s="27"/>
      <c r="C149" s="24">
        <v>30.083279240253461</v>
      </c>
      <c r="D149" s="24"/>
      <c r="E149" s="24">
        <f t="shared" si="119"/>
        <v>30.103204265245129</v>
      </c>
      <c r="F149" s="33">
        <f t="shared" si="120"/>
        <v>30.180703265245128</v>
      </c>
      <c r="G149" s="24">
        <v>6328.72</v>
      </c>
      <c r="H149" s="24">
        <f t="shared" si="121"/>
        <v>6.3287200000000006</v>
      </c>
      <c r="I149" s="24">
        <f t="shared" si="122"/>
        <v>150.30710000000002</v>
      </c>
      <c r="J149" s="33">
        <f t="shared" si="115"/>
        <v>0.20079359701068761</v>
      </c>
      <c r="K149" s="33">
        <f t="shared" si="116"/>
        <v>200.79359701068762</v>
      </c>
      <c r="L149" s="24">
        <v>3889983.1699999995</v>
      </c>
      <c r="M149" s="33">
        <f t="shared" si="123"/>
        <v>2248.4102722599996</v>
      </c>
      <c r="N149" s="33">
        <f t="shared" si="124"/>
        <v>6443.9989629426036</v>
      </c>
      <c r="O149" s="33">
        <f t="shared" si="110"/>
        <v>3.6985279419643204E-5</v>
      </c>
      <c r="P149" s="33">
        <f t="shared" si="125"/>
        <v>0.47666620444864644</v>
      </c>
      <c r="Q149" s="15"/>
      <c r="R149" s="33">
        <f t="shared" si="76"/>
        <v>22433.895522388062</v>
      </c>
      <c r="S149" s="33">
        <f t="shared" si="77"/>
        <v>1.9822311130760804E-5</v>
      </c>
      <c r="T149" s="33">
        <f t="shared" si="98"/>
        <v>0.88938331383951574</v>
      </c>
      <c r="U149" s="33">
        <f t="shared" si="78"/>
        <v>0.2872438697288115</v>
      </c>
      <c r="V149" s="33">
        <f t="shared" si="79"/>
        <v>28.724386972881149</v>
      </c>
      <c r="W149" s="13"/>
      <c r="X149" s="13"/>
      <c r="Y149" s="24">
        <v>23.64</v>
      </c>
      <c r="Z149" s="24">
        <f t="shared" si="126"/>
        <v>23.602385402119577</v>
      </c>
      <c r="AA149" s="24">
        <f t="shared" si="127"/>
        <v>11.801192701059788</v>
      </c>
      <c r="AC149" s="13"/>
      <c r="AD149" s="33">
        <f t="shared" si="117"/>
        <v>0.39101781682634157</v>
      </c>
      <c r="AE149" s="13"/>
      <c r="AF149" s="33">
        <f t="shared" si="118"/>
        <v>24.757770932617458</v>
      </c>
      <c r="AG149" s="15"/>
      <c r="AH149" s="15">
        <f t="shared" si="128"/>
        <v>11.91665511121616</v>
      </c>
    </row>
    <row r="150" spans="1:56" x14ac:dyDescent="0.25">
      <c r="A150" s="24">
        <v>11</v>
      </c>
      <c r="B150" s="27"/>
      <c r="C150" s="24">
        <v>36.22993302232603</v>
      </c>
      <c r="D150" s="24"/>
      <c r="E150" s="24">
        <f t="shared" si="119"/>
        <v>36.249858047317701</v>
      </c>
      <c r="F150" s="33">
        <f t="shared" si="120"/>
        <v>36.327357047317705</v>
      </c>
      <c r="G150" s="24">
        <v>6407.32</v>
      </c>
      <c r="H150" s="24">
        <f t="shared" si="121"/>
        <v>6.4073199999999995</v>
      </c>
      <c r="I150" s="24">
        <f t="shared" si="122"/>
        <v>152.17384999999999</v>
      </c>
      <c r="J150" s="33">
        <f t="shared" si="115"/>
        <v>0.23872273092464774</v>
      </c>
      <c r="K150" s="33">
        <f t="shared" si="116"/>
        <v>238.72273092464775</v>
      </c>
      <c r="L150" s="24">
        <v>4304266.55</v>
      </c>
      <c r="M150" s="33">
        <f t="shared" si="123"/>
        <v>2487.8660658999997</v>
      </c>
      <c r="N150" s="33">
        <f t="shared" si="124"/>
        <v>7130.2851380790271</v>
      </c>
      <c r="O150" s="33">
        <f t="shared" si="110"/>
        <v>3.8574953372882471E-5</v>
      </c>
      <c r="P150" s="33">
        <f t="shared" si="125"/>
        <v>0.55010083347351069</v>
      </c>
      <c r="Q150" s="15"/>
      <c r="R150" s="33">
        <f t="shared" si="76"/>
        <v>22712.514925373132</v>
      </c>
      <c r="S150" s="33">
        <f t="shared" si="77"/>
        <v>2.161355699678621E-5</v>
      </c>
      <c r="T150" s="33">
        <f t="shared" si="98"/>
        <v>0.98179647175981932</v>
      </c>
      <c r="U150" s="33">
        <f t="shared" si="78"/>
        <v>0.31393639856735889</v>
      </c>
      <c r="V150" s="33">
        <f t="shared" si="79"/>
        <v>31.393639856735888</v>
      </c>
      <c r="W150" s="13"/>
      <c r="X150" s="13"/>
      <c r="Y150" s="24">
        <v>27.35</v>
      </c>
      <c r="Z150" s="24">
        <f t="shared" si="126"/>
        <v>27.312385402119578</v>
      </c>
      <c r="AA150" s="24">
        <f t="shared" si="127"/>
        <v>13.656192701059789</v>
      </c>
      <c r="AC150" s="13"/>
      <c r="AD150" s="33">
        <f t="shared" si="117"/>
        <v>0.37592034794251894</v>
      </c>
      <c r="AE150" s="13"/>
      <c r="AF150" s="33">
        <f t="shared" si="118"/>
        <v>24.824890038486704</v>
      </c>
      <c r="AG150" s="15"/>
      <c r="AH150" s="15">
        <f t="shared" si="128"/>
        <v>13.752520836837768</v>
      </c>
    </row>
    <row r="151" spans="1:56" x14ac:dyDescent="0.25">
      <c r="A151" s="24">
        <v>12</v>
      </c>
      <c r="B151" s="27"/>
      <c r="C151" s="24">
        <v>41.980792402532103</v>
      </c>
      <c r="D151" s="24"/>
      <c r="E151" s="24">
        <f t="shared" si="119"/>
        <v>42.000717427523774</v>
      </c>
      <c r="F151" s="33">
        <f t="shared" si="120"/>
        <v>42.078216427523778</v>
      </c>
      <c r="G151" s="24">
        <v>6496.72</v>
      </c>
      <c r="H151" s="24">
        <f t="shared" si="121"/>
        <v>6.4967199999999998</v>
      </c>
      <c r="I151" s="24">
        <f t="shared" si="122"/>
        <v>154.2971</v>
      </c>
      <c r="J151" s="33">
        <f t="shared" si="115"/>
        <v>0.27270905563049325</v>
      </c>
      <c r="K151" s="33">
        <f t="shared" si="116"/>
        <v>272.70905563049325</v>
      </c>
      <c r="L151" s="24">
        <v>4703144.2799999993</v>
      </c>
      <c r="M151" s="33">
        <f t="shared" si="123"/>
        <v>2718.4173938399995</v>
      </c>
      <c r="N151" s="33">
        <f t="shared" si="124"/>
        <v>7791.0508962149161</v>
      </c>
      <c r="O151" s="33">
        <f t="shared" si="110"/>
        <v>3.9716648940016141E-5</v>
      </c>
      <c r="P151" s="33">
        <f t="shared" si="125"/>
        <v>0.61886886663753193</v>
      </c>
      <c r="Q151" s="15"/>
      <c r="R151" s="33">
        <f t="shared" si="76"/>
        <v>23029.417910447759</v>
      </c>
      <c r="S151" s="33">
        <f t="shared" si="77"/>
        <v>2.3100912673889933E-5</v>
      </c>
      <c r="T151" s="33">
        <f t="shared" si="98"/>
        <v>1.0640011441595409</v>
      </c>
      <c r="U151" s="33">
        <f t="shared" si="78"/>
        <v>0.33830863318001403</v>
      </c>
      <c r="V151" s="33">
        <f t="shared" si="79"/>
        <v>33.830863318001406</v>
      </c>
      <c r="W151" s="13"/>
      <c r="X151" s="13"/>
      <c r="Y151" s="24">
        <v>31.66</v>
      </c>
      <c r="Z151" s="24">
        <f t="shared" si="126"/>
        <v>31.622385402119576</v>
      </c>
      <c r="AA151" s="24">
        <f t="shared" si="127"/>
        <v>15.811192701059788</v>
      </c>
      <c r="AC151" s="13"/>
      <c r="AD151" s="33">
        <f t="shared" si="117"/>
        <v>0.37575719798611834</v>
      </c>
      <c r="AE151" s="13"/>
      <c r="AF151" s="33">
        <f t="shared" si="118"/>
        <v>25.54853467902808</v>
      </c>
      <c r="AG151" s="15"/>
      <c r="AH151" s="15">
        <f t="shared" si="128"/>
        <v>15.471721665938299</v>
      </c>
    </row>
    <row r="152" spans="1:56" x14ac:dyDescent="0.25">
      <c r="A152" s="25">
        <v>13</v>
      </c>
      <c r="B152" s="28"/>
      <c r="C152" s="25">
        <v>48.232764411862462</v>
      </c>
      <c r="D152" s="25"/>
      <c r="E152" s="25">
        <f t="shared" si="119"/>
        <v>48.252689436854133</v>
      </c>
      <c r="F152" s="25">
        <f t="shared" si="120"/>
        <v>48.330188436854137</v>
      </c>
      <c r="G152" s="25">
        <v>6579.95</v>
      </c>
      <c r="H152" s="25">
        <f t="shared" si="121"/>
        <v>6.5799500000000002</v>
      </c>
      <c r="I152" s="25">
        <f t="shared" si="122"/>
        <v>156.27381249999999</v>
      </c>
      <c r="J152" s="25">
        <f t="shared" si="115"/>
        <v>0.30926607384621235</v>
      </c>
      <c r="K152" s="25">
        <f t="shared" si="116"/>
        <v>309.26607384621235</v>
      </c>
      <c r="L152" s="25">
        <v>4978424.8899999997</v>
      </c>
      <c r="M152" s="25">
        <f t="shared" si="123"/>
        <v>2877.5295864199998</v>
      </c>
      <c r="N152" s="25">
        <f t="shared" si="124"/>
        <v>8247.0703409875296</v>
      </c>
      <c r="O152" s="25">
        <f>SQRT((4*$F$8*F152)/(2*3.14*$F$10*N152))</f>
        <v>4.1371508080509903E-5</v>
      </c>
      <c r="P152" s="25">
        <f t="shared" si="125"/>
        <v>0.68238747450539827</v>
      </c>
      <c r="Q152" s="15"/>
      <c r="R152" s="33">
        <f t="shared" ref="R152:R206" si="129">(H152/$F$8)*$F$5</f>
        <v>23324.449626865673</v>
      </c>
      <c r="S152" s="33">
        <f t="shared" ref="S152:S206" si="130">SQRT((4*$F$8*F152)/(2*3.14*$F$10*R152))</f>
        <v>2.4600588650504912E-5</v>
      </c>
      <c r="T152" s="33">
        <f t="shared" si="98"/>
        <v>1.1475903815398905</v>
      </c>
      <c r="U152" s="33">
        <f t="shared" ref="U152:U206" si="131">N152/R152</f>
        <v>0.35358049055478469</v>
      </c>
      <c r="V152" s="33">
        <f t="shared" ref="V152:V206" si="132">U152*100</f>
        <v>35.358049055478467</v>
      </c>
      <c r="W152" s="13"/>
      <c r="X152" s="13"/>
      <c r="Y152" s="25">
        <v>34.71</v>
      </c>
      <c r="Z152" s="25">
        <f t="shared" si="126"/>
        <v>34.672385402119573</v>
      </c>
      <c r="AA152" s="25">
        <f>Z152/2</f>
        <v>17.336192701059787</v>
      </c>
      <c r="AB152" s="15"/>
      <c r="AC152" s="13"/>
      <c r="AD152" s="25">
        <f t="shared" si="117"/>
        <v>0.35870318866458401</v>
      </c>
      <c r="AE152" s="2"/>
      <c r="AF152" s="25">
        <f t="shared" si="118"/>
        <v>25.405203566529771</v>
      </c>
      <c r="AG152" s="2"/>
      <c r="AH152" s="2">
        <f t="shared" si="128"/>
        <v>17.059686862634958</v>
      </c>
    </row>
    <row r="153" spans="1:56" x14ac:dyDescent="0.25">
      <c r="A153" s="13"/>
      <c r="E153" s="13"/>
      <c r="F153" s="13"/>
      <c r="H153" s="13"/>
      <c r="I153" s="13"/>
      <c r="J153" s="13"/>
      <c r="M153" s="13"/>
      <c r="N153" s="13"/>
      <c r="O153" s="33"/>
      <c r="P153" s="13"/>
      <c r="Q153" s="15"/>
      <c r="R153" s="33"/>
      <c r="S153" s="33"/>
      <c r="T153" s="33"/>
      <c r="U153" s="33"/>
      <c r="V153" s="33"/>
      <c r="AF153" s="33"/>
      <c r="AG153" s="15"/>
      <c r="AH153" s="15"/>
    </row>
    <row r="154" spans="1:56" x14ac:dyDescent="0.25">
      <c r="A154" s="13"/>
      <c r="E154" s="13"/>
      <c r="F154" s="13"/>
      <c r="H154" s="13"/>
      <c r="I154" s="13"/>
      <c r="J154" s="13"/>
      <c r="M154" s="13"/>
      <c r="N154" s="13"/>
      <c r="O154" s="33"/>
      <c r="P154" s="13"/>
      <c r="Q154" s="15"/>
      <c r="R154" s="33"/>
      <c r="S154" s="33"/>
      <c r="T154" s="33"/>
      <c r="U154" s="33"/>
      <c r="V154" s="33"/>
      <c r="Y154" s="10" t="s">
        <v>28</v>
      </c>
      <c r="Z154" s="10" t="s">
        <v>28</v>
      </c>
      <c r="AA154" s="10" t="s">
        <v>28</v>
      </c>
      <c r="AF154" s="33"/>
      <c r="AG154" s="15"/>
      <c r="AH154" s="15"/>
    </row>
    <row r="155" spans="1:56" s="13" customFormat="1" x14ac:dyDescent="0.25">
      <c r="A155" s="18" t="s">
        <v>24</v>
      </c>
      <c r="B155" s="18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5"/>
      <c r="P155" s="2"/>
      <c r="Q155" s="15"/>
      <c r="R155" s="25"/>
      <c r="S155" s="33"/>
      <c r="T155" s="33"/>
      <c r="U155" s="33"/>
      <c r="V155" s="33"/>
      <c r="Y155" s="18" t="s">
        <v>27</v>
      </c>
      <c r="Z155" s="18" t="s">
        <v>29</v>
      </c>
      <c r="AA155" s="18" t="s">
        <v>30</v>
      </c>
      <c r="AB155" s="26"/>
      <c r="AD155" s="18" t="s">
        <v>14</v>
      </c>
      <c r="AE155" s="2"/>
      <c r="AF155" s="20" t="s">
        <v>17</v>
      </c>
      <c r="AG155" s="2"/>
      <c r="AH155" s="18" t="s">
        <v>16</v>
      </c>
      <c r="AO155" s="18" t="s">
        <v>60</v>
      </c>
      <c r="AP155" s="18"/>
      <c r="AQ155" s="2"/>
      <c r="AR155" s="2"/>
      <c r="AS155" s="2"/>
      <c r="AW155" s="18" t="s">
        <v>61</v>
      </c>
      <c r="AX155" s="18"/>
      <c r="AY155" s="2"/>
      <c r="AZ155" s="2"/>
      <c r="BA155" s="2"/>
      <c r="BD155" s="2"/>
    </row>
    <row r="156" spans="1:56" s="13" customFormat="1" ht="18.75" x14ac:dyDescent="0.35">
      <c r="A156" s="18" t="s">
        <v>0</v>
      </c>
      <c r="B156" s="18"/>
      <c r="C156" s="18" t="s">
        <v>12</v>
      </c>
      <c r="D156" s="18"/>
      <c r="E156" s="18" t="s">
        <v>13</v>
      </c>
      <c r="F156" s="18" t="s">
        <v>1</v>
      </c>
      <c r="G156" s="18" t="s">
        <v>19</v>
      </c>
      <c r="H156" s="18" t="s">
        <v>2</v>
      </c>
      <c r="I156" s="18" t="s">
        <v>3</v>
      </c>
      <c r="J156" s="20" t="s">
        <v>4</v>
      </c>
      <c r="K156" s="20" t="s">
        <v>15</v>
      </c>
      <c r="L156" s="18" t="s">
        <v>33</v>
      </c>
      <c r="M156" s="18" t="s">
        <v>34</v>
      </c>
      <c r="N156" s="18" t="s">
        <v>35</v>
      </c>
      <c r="O156" s="18" t="s">
        <v>9</v>
      </c>
      <c r="P156" s="18" t="s">
        <v>40</v>
      </c>
      <c r="Q156" s="26"/>
      <c r="R156" s="18" t="s">
        <v>43</v>
      </c>
      <c r="S156" s="20" t="s">
        <v>41</v>
      </c>
      <c r="T156" s="21" t="s">
        <v>42</v>
      </c>
      <c r="U156" s="21" t="s">
        <v>44</v>
      </c>
      <c r="V156" s="33"/>
      <c r="X156" s="35" t="s">
        <v>32</v>
      </c>
      <c r="Y156" s="34">
        <v>3.5930279544092399E-2</v>
      </c>
      <c r="Z156" s="19"/>
      <c r="AA156" s="19"/>
      <c r="AB156" s="15"/>
      <c r="AD156" s="19"/>
      <c r="AE156" s="19"/>
      <c r="AF156" s="19"/>
      <c r="AG156" s="19"/>
      <c r="AH156" s="19"/>
      <c r="AO156" s="19"/>
      <c r="AP156" s="20" t="s">
        <v>48</v>
      </c>
      <c r="AQ156" s="20"/>
      <c r="AR156" s="20" t="s">
        <v>47</v>
      </c>
      <c r="AS156" s="20"/>
      <c r="AW156" s="19"/>
      <c r="AX156" s="20" t="s">
        <v>48</v>
      </c>
      <c r="AY156" s="20"/>
      <c r="AZ156" s="20" t="s">
        <v>47</v>
      </c>
      <c r="BA156" s="20"/>
      <c r="BD156" s="2" t="s">
        <v>59</v>
      </c>
    </row>
    <row r="157" spans="1:56" s="13" customFormat="1" ht="18" x14ac:dyDescent="0.35">
      <c r="A157" s="24">
        <v>0</v>
      </c>
      <c r="B157" s="27"/>
      <c r="C157" s="24">
        <v>-3.2923358880373309E-2</v>
      </c>
      <c r="D157" s="24"/>
      <c r="E157" s="32">
        <f>C157-$C$157</f>
        <v>0</v>
      </c>
      <c r="F157" s="32">
        <f>E157+($F$2*9.81)</f>
        <v>7.7499000000000012E-2</v>
      </c>
      <c r="G157" s="24">
        <v>5595.04</v>
      </c>
      <c r="H157" s="24">
        <f>G157/1000</f>
        <v>5.59504</v>
      </c>
      <c r="I157" s="24">
        <f>H157*$F$5</f>
        <v>132.88220000000001</v>
      </c>
      <c r="J157" s="33">
        <f t="shared" ref="J157:J170" si="133">F157/I157</f>
        <v>5.8321581069548827E-4</v>
      </c>
      <c r="K157" s="33">
        <f t="shared" ref="K157:K170" si="134">J157*1000</f>
        <v>0.58321581069548822</v>
      </c>
      <c r="L157" s="32">
        <v>53913.880000000005</v>
      </c>
      <c r="M157" s="32">
        <f>((L157*$F$6)/1000)</f>
        <v>31.16222264</v>
      </c>
      <c r="N157" s="32">
        <f>M157*($F$5/$F$14)</f>
        <v>89.311694067872295</v>
      </c>
      <c r="O157" s="33">
        <f t="shared" ref="O157:O206" si="135">SQRT((4*$F$8*F157)/(2*3.14*$F$10*N157))</f>
        <v>1.5919735325560429E-5</v>
      </c>
      <c r="P157" s="32">
        <f>2*O157*N157</f>
        <v>2.8436370620759047E-3</v>
      </c>
      <c r="Q157" s="15"/>
      <c r="R157" s="33">
        <f t="shared" si="129"/>
        <v>19833.164179104479</v>
      </c>
      <c r="S157" s="33">
        <f t="shared" si="130"/>
        <v>1.068301905812041E-6</v>
      </c>
      <c r="T157" s="33">
        <f t="shared" si="98"/>
        <v>4.2375614181640833E-2</v>
      </c>
      <c r="U157" s="33">
        <f t="shared" si="131"/>
        <v>4.5031490316592019E-3</v>
      </c>
      <c r="V157" s="33">
        <f t="shared" si="132"/>
        <v>0.45031490316592021</v>
      </c>
      <c r="Y157" s="24">
        <v>0.22</v>
      </c>
      <c r="Z157" s="32">
        <f>Y157-$Y$156</f>
        <v>0.18406972045590761</v>
      </c>
      <c r="AA157" s="24">
        <f>Z157/2</f>
        <v>9.2034860227953805E-2</v>
      </c>
      <c r="AD157" s="32">
        <f t="shared" ref="AD157:AD170" si="136">AA157/F157</f>
        <v>1.1875619069659453</v>
      </c>
      <c r="AF157" s="33">
        <f t="shared" ref="AF157:AF170" si="137">AA157/P157</f>
        <v>32.365192258665651</v>
      </c>
      <c r="AG157" s="15"/>
      <c r="AH157" s="38">
        <f>P157*26</f>
        <v>7.393456361397352E-2</v>
      </c>
      <c r="AO157" s="10" t="s">
        <v>55</v>
      </c>
      <c r="AP157" s="13">
        <v>0.66339999999999999</v>
      </c>
      <c r="AR157" s="13">
        <v>0.61639999999999995</v>
      </c>
      <c r="AS157" s="13">
        <v>0.71040000000000003</v>
      </c>
      <c r="AW157" s="46" t="s">
        <v>57</v>
      </c>
      <c r="AX157" s="13">
        <v>2.9409999999999999E-2</v>
      </c>
      <c r="AZ157" s="13">
        <v>2.708E-2</v>
      </c>
      <c r="BA157" s="13">
        <v>3.1739999999999997E-2</v>
      </c>
      <c r="BD157" s="13">
        <f>AP157/AX157</f>
        <v>22.556953417205033</v>
      </c>
    </row>
    <row r="158" spans="1:56" ht="18" x14ac:dyDescent="0.35">
      <c r="A158" s="24">
        <v>1</v>
      </c>
      <c r="B158" s="27"/>
      <c r="C158" s="24">
        <v>0.77972509163612025</v>
      </c>
      <c r="D158" s="24"/>
      <c r="E158" s="33">
        <f t="shared" ref="E158:E170" si="138">C158-$C$157</f>
        <v>0.81264845051649359</v>
      </c>
      <c r="F158" s="33">
        <f t="shared" ref="F158:F170" si="139">E158+($F$2*9.81)</f>
        <v>0.89014745051649358</v>
      </c>
      <c r="G158" s="24">
        <v>5611.99</v>
      </c>
      <c r="H158" s="24">
        <f t="shared" ref="H158:H170" si="140">G158/1000</f>
        <v>5.6119899999999996</v>
      </c>
      <c r="I158" s="24">
        <f t="shared" ref="I158:I170" si="141">H158*$F$5</f>
        <v>133.2847625</v>
      </c>
      <c r="J158" s="33">
        <f t="shared" si="133"/>
        <v>6.6785387453160193E-3</v>
      </c>
      <c r="K158" s="33">
        <f t="shared" si="134"/>
        <v>6.6785387453160192</v>
      </c>
      <c r="L158" s="33">
        <v>204150</v>
      </c>
      <c r="M158" s="33">
        <f t="shared" ref="M158:M170" si="142">((L158*$F$6)/1000)</f>
        <v>117.9987</v>
      </c>
      <c r="N158" s="33">
        <f t="shared" ref="N158:N170" si="143">M158*($F$5/$F$14)</f>
        <v>338.18716708862593</v>
      </c>
      <c r="O158" s="33">
        <f t="shared" si="135"/>
        <v>2.7726456642246689E-5</v>
      </c>
      <c r="P158" s="33">
        <f t="shared" ref="P158:P170" si="144">2*O158*N158</f>
        <v>1.8753463650494046E-2</v>
      </c>
      <c r="Q158" s="15"/>
      <c r="R158" s="33">
        <f t="shared" si="129"/>
        <v>19893.248134328358</v>
      </c>
      <c r="S158" s="33">
        <f t="shared" si="130"/>
        <v>3.6150980726219413E-6</v>
      </c>
      <c r="T158" s="33">
        <f t="shared" si="98"/>
        <v>0.14383208597720096</v>
      </c>
      <c r="U158" s="33">
        <f t="shared" si="131"/>
        <v>1.7000097963139588E-2</v>
      </c>
      <c r="V158" s="33">
        <f t="shared" si="132"/>
        <v>1.7000097963139589</v>
      </c>
      <c r="W158" s="13"/>
      <c r="X158" s="13"/>
      <c r="Y158" s="24">
        <v>1.28</v>
      </c>
      <c r="Z158" s="33">
        <f t="shared" ref="Z158:Z170" si="145">Y158-$Y$156</f>
        <v>1.2440697204559077</v>
      </c>
      <c r="AA158" s="24">
        <f t="shared" ref="AA158:AA170" si="146">Z158/2</f>
        <v>0.62203486022795385</v>
      </c>
      <c r="AC158" s="13"/>
      <c r="AD158" s="33">
        <f t="shared" si="136"/>
        <v>0.6987997998163431</v>
      </c>
      <c r="AE158" s="13"/>
      <c r="AF158" s="33">
        <f t="shared" si="137"/>
        <v>33.169065289524092</v>
      </c>
      <c r="AG158" s="15"/>
      <c r="AH158" s="15">
        <f t="shared" ref="AH158:AH170" si="147">P158*26</f>
        <v>0.48759005491284518</v>
      </c>
      <c r="AO158" s="10" t="s">
        <v>56</v>
      </c>
      <c r="AP158">
        <v>0.84550000000000003</v>
      </c>
      <c r="AR158">
        <v>0.8256</v>
      </c>
      <c r="AS158">
        <v>0.86539999999999995</v>
      </c>
      <c r="AW158" s="46" t="s">
        <v>58</v>
      </c>
      <c r="AX158" s="13">
        <v>0.80800000000000005</v>
      </c>
      <c r="AY158" s="13"/>
      <c r="AZ158" s="13">
        <v>0.78559999999999997</v>
      </c>
      <c r="BA158" s="13">
        <v>0.83040000000000003</v>
      </c>
    </row>
    <row r="159" spans="1:56" x14ac:dyDescent="0.25">
      <c r="A159" s="24">
        <v>2</v>
      </c>
      <c r="B159" s="27"/>
      <c r="C159" s="24">
        <v>1.6035621459513612</v>
      </c>
      <c r="D159" s="24"/>
      <c r="E159" s="33">
        <f t="shared" si="138"/>
        <v>1.6364855048317344</v>
      </c>
      <c r="F159" s="33">
        <f t="shared" si="139"/>
        <v>1.7139845048317344</v>
      </c>
      <c r="G159" s="24">
        <v>5637.43</v>
      </c>
      <c r="H159" s="24">
        <f t="shared" si="140"/>
        <v>5.6374300000000002</v>
      </c>
      <c r="I159" s="24">
        <f t="shared" si="141"/>
        <v>133.88896249999999</v>
      </c>
      <c r="J159" s="33">
        <f t="shared" si="133"/>
        <v>1.2801536981300713E-2</v>
      </c>
      <c r="K159" s="33">
        <f t="shared" si="134"/>
        <v>12.801536981300712</v>
      </c>
      <c r="L159" s="33">
        <v>395368.13</v>
      </c>
      <c r="M159" s="33">
        <f t="shared" si="142"/>
        <v>228.52277914000001</v>
      </c>
      <c r="N159" s="33">
        <f t="shared" si="143"/>
        <v>654.95188754262847</v>
      </c>
      <c r="O159" s="33">
        <f t="shared" si="135"/>
        <v>2.7646534744310849E-5</v>
      </c>
      <c r="P159" s="33">
        <f t="shared" si="144"/>
        <v>3.6214300229598498E-2</v>
      </c>
      <c r="Q159" s="15"/>
      <c r="R159" s="33">
        <f t="shared" si="129"/>
        <v>19983.427238805973</v>
      </c>
      <c r="S159" s="33">
        <f t="shared" si="130"/>
        <v>5.0050730012757697E-6</v>
      </c>
      <c r="T159" s="33">
        <f t="shared" si="98"/>
        <v>0.20003702429181316</v>
      </c>
      <c r="U159" s="33">
        <f t="shared" si="131"/>
        <v>3.2774752784686119E-2</v>
      </c>
      <c r="V159" s="33">
        <f t="shared" si="132"/>
        <v>3.2774752784686121</v>
      </c>
      <c r="W159" s="13"/>
      <c r="X159" s="13"/>
      <c r="Y159" s="24">
        <v>2.12</v>
      </c>
      <c r="Z159" s="33">
        <f t="shared" si="145"/>
        <v>2.0840697204559078</v>
      </c>
      <c r="AA159" s="24">
        <f t="shared" si="146"/>
        <v>1.0420348602279539</v>
      </c>
      <c r="AC159" s="13"/>
      <c r="AD159" s="33">
        <f t="shared" si="136"/>
        <v>0.60796049047727696</v>
      </c>
      <c r="AE159" s="13"/>
      <c r="AF159" s="33">
        <f t="shared" si="137"/>
        <v>28.774126619083003</v>
      </c>
      <c r="AG159" s="15"/>
      <c r="AH159" s="15">
        <f t="shared" si="147"/>
        <v>0.94157180596956092</v>
      </c>
    </row>
    <row r="160" spans="1:56" s="13" customFormat="1" x14ac:dyDescent="0.25">
      <c r="A160" s="24">
        <v>3</v>
      </c>
      <c r="B160" s="27"/>
      <c r="C160" s="24">
        <v>3.1793798733755354</v>
      </c>
      <c r="D160" s="24"/>
      <c r="E160" s="33">
        <f t="shared" si="138"/>
        <v>3.2123032322559086</v>
      </c>
      <c r="F160" s="33">
        <f t="shared" si="139"/>
        <v>3.2898022322559086</v>
      </c>
      <c r="G160" s="24">
        <v>5670.28</v>
      </c>
      <c r="H160" s="24">
        <f t="shared" si="140"/>
        <v>5.67028</v>
      </c>
      <c r="I160" s="24">
        <f t="shared" si="141"/>
        <v>134.66915</v>
      </c>
      <c r="J160" s="33">
        <f t="shared" si="133"/>
        <v>2.4428774015844822E-2</v>
      </c>
      <c r="K160" s="33">
        <f t="shared" si="134"/>
        <v>24.428774015844823</v>
      </c>
      <c r="L160" s="33">
        <v>671654</v>
      </c>
      <c r="M160" s="33">
        <f t="shared" si="142"/>
        <v>388.21601199999998</v>
      </c>
      <c r="N160" s="33">
        <f t="shared" si="143"/>
        <v>1112.6366080026646</v>
      </c>
      <c r="O160" s="33">
        <f t="shared" si="135"/>
        <v>2.9386656753898402E-5</v>
      </c>
      <c r="P160" s="33">
        <f t="shared" si="144"/>
        <v>6.5393340182392221E-2</v>
      </c>
      <c r="Q160" s="15"/>
      <c r="R160" s="33">
        <f t="shared" si="129"/>
        <v>20099.873134328358</v>
      </c>
      <c r="S160" s="33">
        <f t="shared" si="130"/>
        <v>6.9140130458311629E-6</v>
      </c>
      <c r="T160" s="33">
        <f t="shared" si="98"/>
        <v>0.27794157014059517</v>
      </c>
      <c r="U160" s="33">
        <f t="shared" si="131"/>
        <v>5.5355404512598863E-2</v>
      </c>
      <c r="V160" s="33">
        <f t="shared" si="132"/>
        <v>5.5355404512598865</v>
      </c>
      <c r="Y160" s="24">
        <v>3.65</v>
      </c>
      <c r="Z160" s="33">
        <f t="shared" si="145"/>
        <v>3.6140697204559076</v>
      </c>
      <c r="AA160" s="24">
        <f>Z160/2</f>
        <v>1.8070348602279538</v>
      </c>
      <c r="AD160" s="33">
        <f t="shared" si="136"/>
        <v>0.5492837358155781</v>
      </c>
      <c r="AF160" s="33">
        <f t="shared" si="137"/>
        <v>27.633316407876581</v>
      </c>
      <c r="AG160" s="15"/>
      <c r="AH160" s="15">
        <f t="shared" si="147"/>
        <v>1.7002268447421978</v>
      </c>
    </row>
    <row r="161" spans="1:56" x14ac:dyDescent="0.25">
      <c r="A161" s="24">
        <v>4</v>
      </c>
      <c r="B161" s="27"/>
      <c r="C161" s="24">
        <v>4.7859306897700762</v>
      </c>
      <c r="D161" s="24"/>
      <c r="E161" s="33">
        <f t="shared" si="138"/>
        <v>4.8188540486504499</v>
      </c>
      <c r="F161" s="33">
        <f t="shared" si="139"/>
        <v>4.8963530486504503</v>
      </c>
      <c r="G161" s="24">
        <v>5710.54</v>
      </c>
      <c r="H161" s="24">
        <f t="shared" si="140"/>
        <v>5.7105399999999999</v>
      </c>
      <c r="I161" s="24">
        <f>H161*$F$5</f>
        <v>135.625325</v>
      </c>
      <c r="J161" s="33">
        <f t="shared" si="133"/>
        <v>3.6102055782358124E-2</v>
      </c>
      <c r="K161" s="33">
        <f t="shared" si="134"/>
        <v>36.102055782358121</v>
      </c>
      <c r="L161" s="33">
        <v>1062955</v>
      </c>
      <c r="M161" s="33">
        <f t="shared" si="142"/>
        <v>614.38798999999995</v>
      </c>
      <c r="N161" s="33">
        <f t="shared" si="143"/>
        <v>1760.8510418451647</v>
      </c>
      <c r="O161" s="33">
        <f t="shared" si="135"/>
        <v>2.8498172465512321E-5</v>
      </c>
      <c r="P161" s="33">
        <f t="shared" si="144"/>
        <v>0.10036207335316111</v>
      </c>
      <c r="Q161" s="15"/>
      <c r="R161" s="33">
        <f t="shared" si="129"/>
        <v>20242.585820895521</v>
      </c>
      <c r="S161" s="33">
        <f t="shared" si="130"/>
        <v>8.4051472281255566E-6</v>
      </c>
      <c r="T161" s="33">
        <f t="shared" si="98"/>
        <v>0.34028382820518738</v>
      </c>
      <c r="U161" s="33">
        <f t="shared" si="131"/>
        <v>8.6987455922134041E-2</v>
      </c>
      <c r="V161" s="33">
        <f t="shared" si="132"/>
        <v>8.6987455922134043</v>
      </c>
      <c r="W161" s="13"/>
      <c r="X161" s="13"/>
      <c r="Y161" s="24">
        <v>5.16</v>
      </c>
      <c r="Z161" s="33">
        <f t="shared" si="145"/>
        <v>5.1240697204559078</v>
      </c>
      <c r="AA161" s="24">
        <f t="shared" si="146"/>
        <v>2.5620348602279539</v>
      </c>
      <c r="AC161" s="13"/>
      <c r="AD161" s="33">
        <f t="shared" si="136"/>
        <v>0.52325370224970003</v>
      </c>
      <c r="AE161" s="13"/>
      <c r="AF161" s="33">
        <f t="shared" si="137"/>
        <v>25.527918810649574</v>
      </c>
      <c r="AG161" s="15"/>
      <c r="AH161" s="15">
        <f t="shared" si="147"/>
        <v>2.6094139071821889</v>
      </c>
    </row>
    <row r="162" spans="1:56" x14ac:dyDescent="0.25">
      <c r="A162" s="24">
        <v>5</v>
      </c>
      <c r="B162" s="27"/>
      <c r="C162" s="24">
        <v>6.4622675774742131</v>
      </c>
      <c r="D162" s="24"/>
      <c r="E162" s="33">
        <f t="shared" si="138"/>
        <v>6.4951909363545868</v>
      </c>
      <c r="F162" s="33">
        <f t="shared" si="139"/>
        <v>6.5726899363545872</v>
      </c>
      <c r="G162" s="24">
        <v>5733.86</v>
      </c>
      <c r="H162" s="24">
        <f t="shared" si="140"/>
        <v>5.73386</v>
      </c>
      <c r="I162" s="24">
        <f t="shared" si="141"/>
        <v>136.17917499999999</v>
      </c>
      <c r="J162" s="33">
        <f t="shared" si="133"/>
        <v>4.8265015090263159E-2</v>
      </c>
      <c r="K162" s="33">
        <f t="shared" si="134"/>
        <v>48.265015090263162</v>
      </c>
      <c r="L162" s="33">
        <v>1411613.6400000001</v>
      </c>
      <c r="M162" s="33">
        <f t="shared" si="142"/>
        <v>815.91268391999995</v>
      </c>
      <c r="N162" s="33">
        <f t="shared" si="143"/>
        <v>2338.4257552547806</v>
      </c>
      <c r="O162" s="33">
        <f t="shared" si="135"/>
        <v>2.8651788526197615E-5</v>
      </c>
      <c r="P162" s="33">
        <f t="shared" si="144"/>
        <v>0.13400016044754784</v>
      </c>
      <c r="Q162" s="15"/>
      <c r="R162" s="33">
        <f t="shared" si="129"/>
        <v>20325.25</v>
      </c>
      <c r="S162" s="33">
        <f t="shared" si="130"/>
        <v>9.71841816125679E-6</v>
      </c>
      <c r="T162" s="33">
        <f t="shared" si="98"/>
        <v>0.39505855746416912</v>
      </c>
      <c r="U162" s="33">
        <f t="shared" si="131"/>
        <v>0.11505028254288535</v>
      </c>
      <c r="V162" s="33">
        <f t="shared" si="132"/>
        <v>11.505028254288534</v>
      </c>
      <c r="W162" s="13"/>
      <c r="X162" s="13"/>
      <c r="Y162" s="24">
        <v>6.71</v>
      </c>
      <c r="Z162" s="33">
        <f t="shared" si="145"/>
        <v>6.6740697204559076</v>
      </c>
      <c r="AA162" s="24">
        <f t="shared" si="146"/>
        <v>3.3370348602279538</v>
      </c>
      <c r="AC162" s="13"/>
      <c r="AD162" s="33">
        <f t="shared" si="136"/>
        <v>0.50771219889291996</v>
      </c>
      <c r="AE162" s="13"/>
      <c r="AF162" s="33">
        <f t="shared" si="137"/>
        <v>24.903215407224689</v>
      </c>
      <c r="AG162" s="15"/>
      <c r="AH162" s="15">
        <f t="shared" si="147"/>
        <v>3.484004171636244</v>
      </c>
    </row>
    <row r="163" spans="1:56" x14ac:dyDescent="0.25">
      <c r="A163" s="24">
        <v>6</v>
      </c>
      <c r="B163" s="27"/>
      <c r="C163" s="24">
        <v>8.0192839053648974</v>
      </c>
      <c r="D163" s="24"/>
      <c r="E163" s="33">
        <f t="shared" si="138"/>
        <v>8.0522072642452702</v>
      </c>
      <c r="F163" s="33">
        <f t="shared" si="139"/>
        <v>8.1297062642452698</v>
      </c>
      <c r="G163" s="24">
        <v>5779.23</v>
      </c>
      <c r="H163" s="24">
        <f t="shared" si="140"/>
        <v>5.7792299999999992</v>
      </c>
      <c r="I163" s="24">
        <f>H163*$F$5</f>
        <v>137.25671249999999</v>
      </c>
      <c r="J163" s="33">
        <f t="shared" si="133"/>
        <v>5.9229935761759341E-2</v>
      </c>
      <c r="K163" s="33">
        <f t="shared" si="134"/>
        <v>59.229935761759343</v>
      </c>
      <c r="L163" s="33">
        <v>1815658.38</v>
      </c>
      <c r="M163" s="33">
        <f t="shared" si="142"/>
        <v>1049.4505436399998</v>
      </c>
      <c r="N163" s="33">
        <f t="shared" si="143"/>
        <v>3007.7509866907849</v>
      </c>
      <c r="O163" s="33">
        <f t="shared" si="135"/>
        <v>2.809690257077072E-5</v>
      </c>
      <c r="P163" s="33">
        <f t="shared" si="144"/>
        <v>0.16901697286038098</v>
      </c>
      <c r="Q163" s="15"/>
      <c r="R163" s="33">
        <f t="shared" si="129"/>
        <v>20486.076492537308</v>
      </c>
      <c r="S163" s="33">
        <f t="shared" si="130"/>
        <v>1.0765891273285714E-5</v>
      </c>
      <c r="T163" s="33">
        <f t="shared" si="98"/>
        <v>0.44110174426974202</v>
      </c>
      <c r="U163" s="33">
        <f t="shared" si="131"/>
        <v>0.1468192793181482</v>
      </c>
      <c r="V163" s="33">
        <f t="shared" si="132"/>
        <v>14.681927931814819</v>
      </c>
      <c r="W163" s="13"/>
      <c r="X163" s="13"/>
      <c r="Y163" s="24">
        <v>8.06</v>
      </c>
      <c r="Z163" s="33">
        <f t="shared" si="145"/>
        <v>8.0240697204559073</v>
      </c>
      <c r="AA163" s="24">
        <f t="shared" si="146"/>
        <v>4.0120348602279536</v>
      </c>
      <c r="AC163" s="13"/>
      <c r="AD163" s="33">
        <f t="shared" si="136"/>
        <v>0.49350305285604501</v>
      </c>
      <c r="AE163" s="13"/>
      <c r="AF163" s="33">
        <f t="shared" si="137"/>
        <v>23.737467263374523</v>
      </c>
      <c r="AG163" s="15"/>
      <c r="AH163" s="15">
        <f t="shared" si="147"/>
        <v>4.3944412943699049</v>
      </c>
    </row>
    <row r="164" spans="1:56" x14ac:dyDescent="0.25">
      <c r="A164" s="24">
        <v>7</v>
      </c>
      <c r="B164" s="27"/>
      <c r="C164" s="24">
        <v>12.106667777407527</v>
      </c>
      <c r="D164" s="24"/>
      <c r="E164" s="33">
        <f t="shared" si="138"/>
        <v>12.139591136287899</v>
      </c>
      <c r="F164" s="33">
        <f t="shared" si="139"/>
        <v>12.217090136287899</v>
      </c>
      <c r="G164" s="24">
        <v>5807.74</v>
      </c>
      <c r="H164" s="24">
        <f t="shared" si="140"/>
        <v>5.8077399999999999</v>
      </c>
      <c r="I164" s="24">
        <f t="shared" si="141"/>
        <v>137.93382499999998</v>
      </c>
      <c r="J164" s="33">
        <f t="shared" si="133"/>
        <v>8.8572111563555211E-2</v>
      </c>
      <c r="K164" s="33">
        <f t="shared" si="134"/>
        <v>88.572111563555211</v>
      </c>
      <c r="L164" s="33">
        <v>2227072.77</v>
      </c>
      <c r="M164" s="33">
        <f t="shared" si="142"/>
        <v>1287.2480610600001</v>
      </c>
      <c r="N164" s="33">
        <f t="shared" si="143"/>
        <v>3689.2845015259322</v>
      </c>
      <c r="O164" s="33">
        <f t="shared" si="135"/>
        <v>3.109959781122955E-5</v>
      </c>
      <c r="P164" s="33">
        <f t="shared" si="144"/>
        <v>0.22947052841731796</v>
      </c>
      <c r="Q164" s="15"/>
      <c r="R164" s="33">
        <f t="shared" si="129"/>
        <v>20587.13805970149</v>
      </c>
      <c r="S164" s="33">
        <f t="shared" si="130"/>
        <v>1.3165212027577119E-5</v>
      </c>
      <c r="T164" s="33">
        <f t="shared" si="98"/>
        <v>0.54206807519394551</v>
      </c>
      <c r="U164" s="33">
        <f t="shared" si="131"/>
        <v>0.17920336915346</v>
      </c>
      <c r="V164" s="33">
        <f t="shared" si="132"/>
        <v>17.920336915345999</v>
      </c>
      <c r="W164" s="13"/>
      <c r="X164" s="13"/>
      <c r="Y164" s="24">
        <v>11.55</v>
      </c>
      <c r="Z164" s="33">
        <f t="shared" si="145"/>
        <v>11.514069720455907</v>
      </c>
      <c r="AA164" s="24">
        <f t="shared" si="146"/>
        <v>5.7570348602279537</v>
      </c>
      <c r="AC164" s="13"/>
      <c r="AD164" s="33">
        <f t="shared" si="136"/>
        <v>0.47122799259113918</v>
      </c>
      <c r="AE164" s="13"/>
      <c r="AF164" s="33">
        <f t="shared" si="137"/>
        <v>25.08834097317342</v>
      </c>
      <c r="AG164" s="15"/>
      <c r="AH164" s="15">
        <f t="shared" si="147"/>
        <v>5.9662337388502671</v>
      </c>
    </row>
    <row r="165" spans="1:56" x14ac:dyDescent="0.25">
      <c r="A165" s="24">
        <v>8</v>
      </c>
      <c r="B165" s="27"/>
      <c r="C165" s="24">
        <v>17.900587804065388</v>
      </c>
      <c r="D165" s="24"/>
      <c r="E165" s="33">
        <f t="shared" si="138"/>
        <v>17.933511162945763</v>
      </c>
      <c r="F165" s="33">
        <f t="shared" si="139"/>
        <v>18.011010162945762</v>
      </c>
      <c r="G165" s="24">
        <v>5854.76</v>
      </c>
      <c r="H165" s="24">
        <f t="shared" si="140"/>
        <v>5.8547600000000006</v>
      </c>
      <c r="I165" s="24">
        <f t="shared" si="141"/>
        <v>139.05055000000002</v>
      </c>
      <c r="J165" s="33">
        <f t="shared" si="133"/>
        <v>0.12952850717200154</v>
      </c>
      <c r="K165" s="33">
        <f t="shared" si="134"/>
        <v>129.52850717200153</v>
      </c>
      <c r="L165" s="33">
        <v>2712021.14</v>
      </c>
      <c r="M165" s="33">
        <f t="shared" si="142"/>
        <v>1567.54821892</v>
      </c>
      <c r="N165" s="33">
        <f t="shared" si="143"/>
        <v>4492.6316258685565</v>
      </c>
      <c r="O165" s="33">
        <f t="shared" si="135"/>
        <v>3.4218470062854238E-5</v>
      </c>
      <c r="P165" s="33">
        <f t="shared" si="144"/>
        <v>0.30746196158643074</v>
      </c>
      <c r="Q165" s="15"/>
      <c r="R165" s="33">
        <f t="shared" si="129"/>
        <v>20753.813432835821</v>
      </c>
      <c r="S165" s="33">
        <f t="shared" si="130"/>
        <v>1.5920695599504422E-5</v>
      </c>
      <c r="T165" s="33">
        <f t="shared" ref="T165:T206" si="148">2*S165*R165</f>
        <v>0.66083029238617008</v>
      </c>
      <c r="U165" s="33">
        <f t="shared" si="131"/>
        <v>0.21647258420279047</v>
      </c>
      <c r="V165" s="33">
        <f t="shared" si="132"/>
        <v>21.647258420279048</v>
      </c>
      <c r="W165" s="13"/>
      <c r="X165" s="13"/>
      <c r="Y165" s="24">
        <v>15.07</v>
      </c>
      <c r="Z165" s="33">
        <f t="shared" si="145"/>
        <v>15.034069720455907</v>
      </c>
      <c r="AA165" s="24">
        <f t="shared" si="146"/>
        <v>7.5170348602279535</v>
      </c>
      <c r="AC165" s="13"/>
      <c r="AD165" s="33">
        <f t="shared" si="136"/>
        <v>0.41735776018231485</v>
      </c>
      <c r="AE165" s="13"/>
      <c r="AF165" s="33">
        <f t="shared" si="137"/>
        <v>24.448666174644298</v>
      </c>
      <c r="AG165" s="15"/>
      <c r="AH165" s="15">
        <f t="shared" si="147"/>
        <v>7.9940110012471992</v>
      </c>
    </row>
    <row r="166" spans="1:56" x14ac:dyDescent="0.25">
      <c r="A166" s="24">
        <v>9</v>
      </c>
      <c r="B166" s="27"/>
      <c r="C166" s="24">
        <v>24.080031322892513</v>
      </c>
      <c r="D166" s="24"/>
      <c r="E166" s="33">
        <f t="shared" si="138"/>
        <v>24.112954681772887</v>
      </c>
      <c r="F166" s="33">
        <f t="shared" si="139"/>
        <v>24.190453681772887</v>
      </c>
      <c r="G166" s="24">
        <v>5924.12</v>
      </c>
      <c r="H166" s="24">
        <f t="shared" si="140"/>
        <v>5.9241200000000003</v>
      </c>
      <c r="I166" s="24">
        <f t="shared" si="141"/>
        <v>140.69785000000002</v>
      </c>
      <c r="J166" s="33">
        <f t="shared" si="133"/>
        <v>0.17193193557522651</v>
      </c>
      <c r="K166" s="33">
        <f t="shared" si="134"/>
        <v>171.9319355752265</v>
      </c>
      <c r="L166" s="33">
        <v>3171023</v>
      </c>
      <c r="M166" s="33">
        <f t="shared" si="142"/>
        <v>1832.8512939999998</v>
      </c>
      <c r="N166" s="33">
        <f t="shared" si="143"/>
        <v>5252.9967432910889</v>
      </c>
      <c r="O166" s="33">
        <f t="shared" si="135"/>
        <v>3.6674178822624204E-5</v>
      </c>
      <c r="P166" s="33">
        <f t="shared" si="144"/>
        <v>0.38529868383623994</v>
      </c>
      <c r="Q166" s="15"/>
      <c r="R166" s="33">
        <f t="shared" si="129"/>
        <v>20999.679104477615</v>
      </c>
      <c r="S166" s="33">
        <f t="shared" si="130"/>
        <v>1.8342462289344034E-5</v>
      </c>
      <c r="T166" s="33">
        <f t="shared" si="148"/>
        <v>0.77037164412441306</v>
      </c>
      <c r="U166" s="33">
        <f t="shared" si="131"/>
        <v>0.25014652448527319</v>
      </c>
      <c r="V166" s="33">
        <f t="shared" si="132"/>
        <v>25.014652448527318</v>
      </c>
      <c r="W166" s="13"/>
      <c r="X166" s="13"/>
      <c r="Y166" s="24">
        <v>19.350000000000001</v>
      </c>
      <c r="Z166" s="33">
        <f>Y166-$Y$156</f>
        <v>19.314069720455908</v>
      </c>
      <c r="AA166" s="24">
        <f t="shared" si="146"/>
        <v>9.6570348602279541</v>
      </c>
      <c r="AC166" s="13"/>
      <c r="AD166" s="33">
        <f t="shared" si="136"/>
        <v>0.39920850544049008</v>
      </c>
      <c r="AE166" s="13"/>
      <c r="AF166" s="33">
        <f t="shared" si="137"/>
        <v>25.06376290746012</v>
      </c>
      <c r="AG166" s="15"/>
      <c r="AH166" s="15">
        <f t="shared" si="147"/>
        <v>10.017765779742238</v>
      </c>
    </row>
    <row r="167" spans="1:56" x14ac:dyDescent="0.25">
      <c r="A167" s="24">
        <v>10</v>
      </c>
      <c r="B167" s="27"/>
      <c r="C167" s="24">
        <v>30.10572342552511</v>
      </c>
      <c r="D167" s="24"/>
      <c r="E167" s="33">
        <f t="shared" si="138"/>
        <v>30.138646784405484</v>
      </c>
      <c r="F167" s="33">
        <f t="shared" si="139"/>
        <v>30.216145784405484</v>
      </c>
      <c r="G167" s="24">
        <v>5993.48</v>
      </c>
      <c r="H167" s="24">
        <f t="shared" si="140"/>
        <v>5.9934799999999999</v>
      </c>
      <c r="I167" s="24">
        <f t="shared" si="141"/>
        <v>142.34514999999999</v>
      </c>
      <c r="J167" s="33">
        <f t="shared" si="133"/>
        <v>0.21227379917338585</v>
      </c>
      <c r="K167" s="33">
        <f t="shared" si="134"/>
        <v>212.27379917338584</v>
      </c>
      <c r="L167" s="33">
        <v>3668305.51</v>
      </c>
      <c r="M167" s="33">
        <f t="shared" si="142"/>
        <v>2120.2805847799996</v>
      </c>
      <c r="N167" s="33">
        <f t="shared" si="143"/>
        <v>6076.7761373622188</v>
      </c>
      <c r="O167" s="33">
        <f t="shared" si="135"/>
        <v>3.8108764769132227E-5</v>
      </c>
      <c r="P167" s="33">
        <f t="shared" si="144"/>
        <v>0.46315686474682549</v>
      </c>
      <c r="Q167" s="15"/>
      <c r="R167" s="33">
        <f t="shared" si="129"/>
        <v>21245.544776119401</v>
      </c>
      <c r="S167" s="33">
        <f t="shared" si="130"/>
        <v>2.0381096958782339E-5</v>
      </c>
      <c r="T167" s="33">
        <f t="shared" si="148"/>
        <v>0.8660150160484823</v>
      </c>
      <c r="U167" s="33">
        <f t="shared" si="131"/>
        <v>0.28602590337870221</v>
      </c>
      <c r="V167" s="33">
        <f t="shared" si="132"/>
        <v>28.602590337870222</v>
      </c>
      <c r="W167" s="13"/>
      <c r="X167" s="13"/>
      <c r="Y167" s="24">
        <v>23.33</v>
      </c>
      <c r="Z167" s="33">
        <f t="shared" si="145"/>
        <v>23.294069720455905</v>
      </c>
      <c r="AA167" s="24">
        <f t="shared" si="146"/>
        <v>11.647034860227953</v>
      </c>
      <c r="AC167" s="13"/>
      <c r="AD167" s="33">
        <f t="shared" si="136"/>
        <v>0.385457329446662</v>
      </c>
      <c r="AE167" s="13"/>
      <c r="AF167" s="33">
        <f t="shared" si="137"/>
        <v>25.147063007680018</v>
      </c>
      <c r="AG167" s="15"/>
      <c r="AH167" s="15">
        <f t="shared" si="147"/>
        <v>12.042078483417463</v>
      </c>
    </row>
    <row r="168" spans="1:56" x14ac:dyDescent="0.25">
      <c r="A168" s="24">
        <v>11</v>
      </c>
      <c r="B168" s="27"/>
      <c r="C168" s="24">
        <v>36.271164945018164</v>
      </c>
      <c r="D168" s="24"/>
      <c r="E168" s="33">
        <f t="shared" si="138"/>
        <v>36.304088303898538</v>
      </c>
      <c r="F168" s="33">
        <f t="shared" si="139"/>
        <v>36.381587303898542</v>
      </c>
      <c r="G168" s="24">
        <v>6080.56</v>
      </c>
      <c r="H168" s="24">
        <f t="shared" si="140"/>
        <v>6.0805600000000002</v>
      </c>
      <c r="I168" s="24">
        <f t="shared" si="141"/>
        <v>144.41329999999999</v>
      </c>
      <c r="J168" s="33">
        <f t="shared" si="133"/>
        <v>0.2519268467924945</v>
      </c>
      <c r="K168" s="33">
        <f t="shared" si="134"/>
        <v>251.9268467924945</v>
      </c>
      <c r="L168" s="33">
        <v>4132746.2699999996</v>
      </c>
      <c r="M168" s="33">
        <f t="shared" si="142"/>
        <v>2388.7273440599997</v>
      </c>
      <c r="N168" s="33">
        <f t="shared" si="143"/>
        <v>6846.1511307733799</v>
      </c>
      <c r="O168" s="33">
        <f t="shared" si="135"/>
        <v>3.9396672100887132E-5</v>
      </c>
      <c r="P168" s="33">
        <f t="shared" si="144"/>
        <v>0.53943114250439306</v>
      </c>
      <c r="Q168" s="15"/>
      <c r="R168" s="33">
        <f t="shared" si="129"/>
        <v>21554.223880597016</v>
      </c>
      <c r="S168" s="33">
        <f t="shared" si="130"/>
        <v>2.2203251798719662E-5</v>
      </c>
      <c r="T168" s="33">
        <f t="shared" si="148"/>
        <v>0.95714772029374395</v>
      </c>
      <c r="U168" s="33">
        <f t="shared" si="131"/>
        <v>0.31762457181008708</v>
      </c>
      <c r="V168" s="33">
        <f t="shared" si="132"/>
        <v>31.762457181008706</v>
      </c>
      <c r="W168" s="13"/>
      <c r="X168" s="13"/>
      <c r="Y168" s="24">
        <v>27.41</v>
      </c>
      <c r="Z168" s="33">
        <f t="shared" si="145"/>
        <v>27.374069720455907</v>
      </c>
      <c r="AA168" s="24">
        <f t="shared" si="146"/>
        <v>13.687034860227953</v>
      </c>
      <c r="AC168" s="13"/>
      <c r="AD168" s="33">
        <f t="shared" si="136"/>
        <v>0.37620774338125956</v>
      </c>
      <c r="AE168" s="13"/>
      <c r="AF168" s="33">
        <f t="shared" si="137"/>
        <v>25.373089875166947</v>
      </c>
      <c r="AG168" s="15"/>
      <c r="AH168" s="15">
        <f t="shared" si="147"/>
        <v>14.02520970511422</v>
      </c>
      <c r="AJ168" s="13"/>
    </row>
    <row r="169" spans="1:56" x14ac:dyDescent="0.25">
      <c r="A169" s="24">
        <v>12</v>
      </c>
      <c r="B169" s="27"/>
      <c r="C169" s="24">
        <v>42.700008997000793</v>
      </c>
      <c r="D169" s="24"/>
      <c r="E169" s="33">
        <f t="shared" si="138"/>
        <v>42.732932355881168</v>
      </c>
      <c r="F169" s="33">
        <f t="shared" si="139"/>
        <v>42.810431355881171</v>
      </c>
      <c r="G169" s="24">
        <v>6171.49</v>
      </c>
      <c r="H169" s="24">
        <f t="shared" si="140"/>
        <v>6.1714899999999995</v>
      </c>
      <c r="I169" s="24">
        <f t="shared" si="141"/>
        <v>146.57288749999998</v>
      </c>
      <c r="J169" s="33">
        <f t="shared" si="133"/>
        <v>0.29207605912710954</v>
      </c>
      <c r="K169" s="33">
        <f t="shared" si="134"/>
        <v>292.07605912710954</v>
      </c>
      <c r="L169" s="33">
        <v>4498845.1399999997</v>
      </c>
      <c r="M169" s="33">
        <f t="shared" si="142"/>
        <v>2600.3324909199996</v>
      </c>
      <c r="N169" s="33">
        <f t="shared" si="143"/>
        <v>7452.6166694441954</v>
      </c>
      <c r="O169" s="33">
        <f t="shared" si="135"/>
        <v>4.0960228189621123E-5</v>
      </c>
      <c r="P169" s="33">
        <f t="shared" si="144"/>
        <v>0.61052175878041681</v>
      </c>
      <c r="Q169" s="15"/>
      <c r="R169" s="33">
        <f t="shared" si="129"/>
        <v>21876.550373134327</v>
      </c>
      <c r="S169" s="33">
        <f t="shared" si="130"/>
        <v>2.3907124256058571E-5</v>
      </c>
      <c r="T169" s="33">
        <f t="shared" si="148"/>
        <v>1.0460108161288937</v>
      </c>
      <c r="U169" s="33">
        <f t="shared" si="131"/>
        <v>0.34066690325164067</v>
      </c>
      <c r="V169" s="33">
        <f t="shared" si="132"/>
        <v>34.066690325164068</v>
      </c>
      <c r="W169" s="13"/>
      <c r="X169" s="13"/>
      <c r="Y169" s="24">
        <v>32.25</v>
      </c>
      <c r="Z169" s="33">
        <f t="shared" si="145"/>
        <v>32.21406972045591</v>
      </c>
      <c r="AA169" s="24">
        <f>Z169/2</f>
        <v>16.107034860227955</v>
      </c>
      <c r="AC169" s="13"/>
      <c r="AD169" s="33">
        <f t="shared" si="136"/>
        <v>0.37624089153250773</v>
      </c>
      <c r="AE169" s="13"/>
      <c r="AF169" s="33">
        <f t="shared" si="137"/>
        <v>26.382409191121212</v>
      </c>
      <c r="AG169" s="15"/>
      <c r="AH169" s="15">
        <f t="shared" si="147"/>
        <v>15.873565728290837</v>
      </c>
    </row>
    <row r="170" spans="1:56" x14ac:dyDescent="0.25">
      <c r="A170" s="25">
        <v>13</v>
      </c>
      <c r="B170" s="28"/>
      <c r="C170" s="25">
        <v>48.154239920026839</v>
      </c>
      <c r="D170" s="25"/>
      <c r="E170" s="25">
        <f t="shared" si="138"/>
        <v>48.187163278907214</v>
      </c>
      <c r="F170" s="25">
        <f t="shared" si="139"/>
        <v>48.264662278907217</v>
      </c>
      <c r="G170" s="25">
        <v>6267.06</v>
      </c>
      <c r="H170" s="25">
        <f t="shared" si="140"/>
        <v>6.2670600000000007</v>
      </c>
      <c r="I170" s="25">
        <f t="shared" si="141"/>
        <v>148.84267500000001</v>
      </c>
      <c r="J170" s="25">
        <f t="shared" si="133"/>
        <v>0.3242662917668418</v>
      </c>
      <c r="K170" s="25">
        <f t="shared" si="134"/>
        <v>324.26629176684179</v>
      </c>
      <c r="L170" s="25">
        <v>4808977.6499999994</v>
      </c>
      <c r="M170" s="25">
        <f t="shared" si="142"/>
        <v>2779.5890816999995</v>
      </c>
      <c r="N170" s="25">
        <f t="shared" si="143"/>
        <v>7966.3704533236223</v>
      </c>
      <c r="O170" s="25">
        <f t="shared" si="135"/>
        <v>4.2065527959504157E-5</v>
      </c>
      <c r="P170" s="25">
        <f t="shared" si="144"/>
        <v>0.67021915808010524</v>
      </c>
      <c r="Q170" s="15"/>
      <c r="R170" s="25">
        <f t="shared" si="129"/>
        <v>22215.324626865673</v>
      </c>
      <c r="S170" s="25">
        <f t="shared" si="130"/>
        <v>2.5190121440614642E-5</v>
      </c>
      <c r="T170" s="25">
        <f t="shared" si="148"/>
        <v>1.1192134503868469</v>
      </c>
      <c r="U170" s="25">
        <f t="shared" si="131"/>
        <v>0.35859797626768175</v>
      </c>
      <c r="V170" s="33">
        <f t="shared" si="132"/>
        <v>35.859797626768177</v>
      </c>
      <c r="W170" s="13"/>
      <c r="X170" s="13"/>
      <c r="Y170" s="25">
        <v>35.39</v>
      </c>
      <c r="Z170" s="25">
        <f t="shared" si="145"/>
        <v>35.354069720455911</v>
      </c>
      <c r="AA170" s="25">
        <f t="shared" si="146"/>
        <v>17.677034860227955</v>
      </c>
      <c r="AB170" s="15"/>
      <c r="AC170" s="13"/>
      <c r="AD170" s="25">
        <f t="shared" si="136"/>
        <v>0.36625211957513754</v>
      </c>
      <c r="AE170" s="2"/>
      <c r="AF170" s="25">
        <f t="shared" si="137"/>
        <v>26.375006812495769</v>
      </c>
      <c r="AG170" s="2"/>
      <c r="AH170" s="2">
        <f t="shared" si="147"/>
        <v>17.425698110082735</v>
      </c>
    </row>
    <row r="171" spans="1:56" x14ac:dyDescent="0.25">
      <c r="A171" s="13"/>
      <c r="E171" s="13"/>
      <c r="F171" s="13"/>
      <c r="H171" s="13"/>
      <c r="I171" s="13"/>
      <c r="J171" s="13"/>
      <c r="M171" s="13"/>
      <c r="N171" s="13"/>
      <c r="O171" s="33"/>
      <c r="P171" s="13"/>
      <c r="Q171" s="15"/>
      <c r="R171" s="33"/>
      <c r="S171" s="33"/>
      <c r="T171" s="33"/>
      <c r="U171" s="33"/>
      <c r="V171" s="33"/>
      <c r="AF171" s="33"/>
      <c r="AG171" s="15"/>
      <c r="AH171" s="15"/>
    </row>
    <row r="172" spans="1:56" x14ac:dyDescent="0.25">
      <c r="E172" s="13"/>
      <c r="F172" s="13"/>
      <c r="H172" s="13"/>
      <c r="I172" s="13"/>
      <c r="J172" s="13"/>
      <c r="M172" s="13"/>
      <c r="N172" s="13"/>
      <c r="O172" s="33"/>
      <c r="P172" s="13"/>
      <c r="Q172" s="15"/>
      <c r="R172" s="33"/>
      <c r="S172" s="33"/>
      <c r="T172" s="33"/>
      <c r="U172" s="33"/>
      <c r="V172" s="33"/>
      <c r="Y172" s="10" t="s">
        <v>28</v>
      </c>
      <c r="Z172" s="10" t="s">
        <v>28</v>
      </c>
      <c r="AA172" s="10" t="s">
        <v>28</v>
      </c>
      <c r="AF172" s="33"/>
      <c r="AG172" s="15"/>
      <c r="AH172" s="15"/>
    </row>
    <row r="173" spans="1:56" x14ac:dyDescent="0.25">
      <c r="A173" s="18" t="s">
        <v>25</v>
      </c>
      <c r="B173" s="18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5"/>
      <c r="P173" s="2"/>
      <c r="Q173" s="15"/>
      <c r="R173" s="25"/>
      <c r="S173" s="33"/>
      <c r="T173" s="33"/>
      <c r="U173" s="33"/>
      <c r="V173" s="33"/>
      <c r="W173" s="13"/>
      <c r="X173" s="13"/>
      <c r="Y173" s="18" t="s">
        <v>27</v>
      </c>
      <c r="Z173" s="18" t="s">
        <v>29</v>
      </c>
      <c r="AA173" s="18" t="s">
        <v>30</v>
      </c>
      <c r="AB173" s="26"/>
      <c r="AC173" s="13"/>
      <c r="AD173" s="18" t="s">
        <v>14</v>
      </c>
      <c r="AE173" s="2"/>
      <c r="AF173" s="20" t="s">
        <v>17</v>
      </c>
      <c r="AG173" s="2"/>
      <c r="AH173" s="18" t="s">
        <v>16</v>
      </c>
      <c r="AO173" s="18" t="s">
        <v>60</v>
      </c>
      <c r="AP173" s="18"/>
      <c r="AQ173" s="2"/>
      <c r="AR173" s="2"/>
      <c r="AS173" s="2"/>
      <c r="AT173" s="13"/>
      <c r="AU173" s="13"/>
      <c r="AV173" s="13"/>
      <c r="AW173" s="18" t="s">
        <v>61</v>
      </c>
      <c r="AX173" s="18"/>
      <c r="AY173" s="2"/>
      <c r="AZ173" s="2"/>
      <c r="BA173" s="2"/>
      <c r="BD173" s="2"/>
    </row>
    <row r="174" spans="1:56" ht="18.75" x14ac:dyDescent="0.35">
      <c r="A174" s="18" t="s">
        <v>0</v>
      </c>
      <c r="B174" s="18"/>
      <c r="C174" s="18" t="s">
        <v>12</v>
      </c>
      <c r="D174" s="18"/>
      <c r="E174" s="18" t="s">
        <v>13</v>
      </c>
      <c r="F174" s="20" t="s">
        <v>1</v>
      </c>
      <c r="G174" s="18" t="s">
        <v>19</v>
      </c>
      <c r="H174" s="18" t="s">
        <v>2</v>
      </c>
      <c r="I174" s="18" t="s">
        <v>3</v>
      </c>
      <c r="J174" s="20" t="s">
        <v>4</v>
      </c>
      <c r="K174" s="20" t="s">
        <v>15</v>
      </c>
      <c r="L174" s="18" t="s">
        <v>33</v>
      </c>
      <c r="M174" s="18" t="s">
        <v>34</v>
      </c>
      <c r="N174" s="18" t="s">
        <v>35</v>
      </c>
      <c r="O174" s="18" t="s">
        <v>9</v>
      </c>
      <c r="P174" s="18" t="s">
        <v>40</v>
      </c>
      <c r="Q174" s="26"/>
      <c r="R174" s="18" t="s">
        <v>43</v>
      </c>
      <c r="S174" s="20" t="s">
        <v>41</v>
      </c>
      <c r="T174" s="21" t="s">
        <v>42</v>
      </c>
      <c r="U174" s="21" t="s">
        <v>44</v>
      </c>
      <c r="V174" s="33"/>
      <c r="W174" s="13"/>
      <c r="X174" s="35" t="s">
        <v>32</v>
      </c>
      <c r="Y174" s="34">
        <v>7.1421857628474836E-3</v>
      </c>
      <c r="Z174" s="19"/>
      <c r="AA174" s="19"/>
      <c r="AB174" s="15"/>
      <c r="AC174" s="13"/>
      <c r="AD174" s="19"/>
      <c r="AE174" s="19"/>
      <c r="AF174" s="19"/>
      <c r="AG174" s="19"/>
      <c r="AH174" s="19"/>
      <c r="AI174" s="13"/>
      <c r="AJ174" s="13"/>
      <c r="AK174" s="13"/>
      <c r="AL174" s="13"/>
      <c r="AM174" s="13"/>
      <c r="AN174" s="13"/>
      <c r="AO174" s="19"/>
      <c r="AP174" s="20" t="s">
        <v>48</v>
      </c>
      <c r="AQ174" s="20"/>
      <c r="AR174" s="20" t="s">
        <v>47</v>
      </c>
      <c r="AS174" s="20"/>
      <c r="AW174" s="19"/>
      <c r="AX174" s="20" t="s">
        <v>48</v>
      </c>
      <c r="AY174" s="20"/>
      <c r="AZ174" s="20" t="s">
        <v>47</v>
      </c>
      <c r="BA174" s="20"/>
      <c r="BD174" s="2" t="s">
        <v>59</v>
      </c>
    </row>
    <row r="175" spans="1:56" ht="18" x14ac:dyDescent="0.35">
      <c r="A175" s="24">
        <v>0</v>
      </c>
      <c r="B175" s="27"/>
      <c r="C175" s="24">
        <v>-2.0603132289237266E-3</v>
      </c>
      <c r="D175" s="24"/>
      <c r="E175" s="32">
        <f>C175-$C$175</f>
        <v>0</v>
      </c>
      <c r="F175" s="33">
        <f>E175+($F$2*9.81)</f>
        <v>7.7499000000000012E-2</v>
      </c>
      <c r="G175" s="24">
        <v>5131.09</v>
      </c>
      <c r="H175" s="24">
        <f>G175/1000</f>
        <v>5.1310900000000004</v>
      </c>
      <c r="I175" s="24">
        <f>H175*$F$5</f>
        <v>121.86338750000002</v>
      </c>
      <c r="J175" s="33">
        <f t="shared" ref="J175:J188" si="149">F175/I175</f>
        <v>6.3594982537310484E-4</v>
      </c>
      <c r="K175" s="33">
        <f t="shared" ref="K175:K188" si="150">J175*1000</f>
        <v>0.63594982537310485</v>
      </c>
      <c r="L175" s="24">
        <v>48101.25</v>
      </c>
      <c r="M175" s="32">
        <f>((L175*$F$6)/1000)</f>
        <v>27.802522499999998</v>
      </c>
      <c r="N175" s="32">
        <f>M175*($F$5/$F$14)</f>
        <v>79.682711099298402</v>
      </c>
      <c r="O175" s="33">
        <f t="shared" si="135"/>
        <v>1.6854192723866341E-5</v>
      </c>
      <c r="P175" s="32">
        <f>2*O175*N175</f>
        <v>2.6859755392554777E-3</v>
      </c>
      <c r="Q175" s="15"/>
      <c r="R175" s="33">
        <f t="shared" si="129"/>
        <v>18188.565298507463</v>
      </c>
      <c r="S175" s="33">
        <f t="shared" si="130"/>
        <v>1.1155544805777061E-6</v>
      </c>
      <c r="T175" s="33">
        <f t="shared" si="148"/>
        <v>4.0580671028060365E-2</v>
      </c>
      <c r="U175" s="33">
        <f t="shared" si="131"/>
        <v>4.3809233873898287E-3</v>
      </c>
      <c r="V175" s="33">
        <f t="shared" si="132"/>
        <v>0.43809233873898284</v>
      </c>
      <c r="W175" s="13"/>
      <c r="X175" s="13"/>
      <c r="Y175" s="24">
        <v>0.26</v>
      </c>
      <c r="Z175" s="32">
        <f>Y175-$Y$174</f>
        <v>0.25285781423715253</v>
      </c>
      <c r="AA175" s="24">
        <f>Z175/2</f>
        <v>0.12642890711857627</v>
      </c>
      <c r="AC175" s="13"/>
      <c r="AD175" s="32">
        <f t="shared" ref="AD175:AD188" si="151">AA175/F175</f>
        <v>1.6313617868433947</v>
      </c>
      <c r="AE175" s="13"/>
      <c r="AF175" s="33">
        <f t="shared" ref="AF175:AF188" si="152">AA175/P175</f>
        <v>47.070014328433139</v>
      </c>
      <c r="AG175" s="15"/>
      <c r="AH175" s="15">
        <f>P175*24.9</f>
        <v>6.6880790927461395E-2</v>
      </c>
      <c r="AO175" s="10" t="s">
        <v>55</v>
      </c>
      <c r="AP175">
        <v>0.63739999999999997</v>
      </c>
      <c r="AR175">
        <v>0.59670000000000001</v>
      </c>
      <c r="AS175">
        <v>0.67800000000000005</v>
      </c>
      <c r="AW175" s="46" t="s">
        <v>57</v>
      </c>
      <c r="AX175" s="13">
        <v>3.1559999999999998E-2</v>
      </c>
      <c r="AY175" s="13"/>
      <c r="AZ175" s="13">
        <v>3.0169999999999999E-2</v>
      </c>
      <c r="BA175" s="13">
        <v>3.2939999999999997E-2</v>
      </c>
      <c r="BD175">
        <f>AP175/AX175</f>
        <v>20.196451204055766</v>
      </c>
    </row>
    <row r="176" spans="1:56" ht="18" x14ac:dyDescent="0.35">
      <c r="A176" s="24">
        <v>1</v>
      </c>
      <c r="B176" s="27"/>
      <c r="C176" s="33">
        <v>0.82268277240919274</v>
      </c>
      <c r="D176" s="33"/>
      <c r="E176" s="33">
        <f t="shared" ref="E176:E188" si="153">C176-$C$175</f>
        <v>0.82474308563811649</v>
      </c>
      <c r="F176" s="33">
        <f t="shared" ref="F176:F188" si="154">E176+($F$2*9.81)</f>
        <v>0.90224208563811648</v>
      </c>
      <c r="G176" s="24">
        <v>5129.8500000000004</v>
      </c>
      <c r="H176" s="24">
        <f t="shared" ref="H176:H188" si="155">G176/1000</f>
        <v>5.1298500000000002</v>
      </c>
      <c r="I176" s="24">
        <f t="shared" ref="I176:I178" si="156">H176*$F$5</f>
        <v>121.8339375</v>
      </c>
      <c r="J176" s="33">
        <f t="shared" si="149"/>
        <v>7.4055070709515272E-3</v>
      </c>
      <c r="K176" s="33">
        <f t="shared" si="150"/>
        <v>7.4055070709515274</v>
      </c>
      <c r="L176" s="24">
        <v>325174</v>
      </c>
      <c r="M176" s="33">
        <f t="shared" ref="M176:M188" si="157">((L176*$F$6)/1000)</f>
        <v>187.95057199999999</v>
      </c>
      <c r="N176" s="33">
        <f t="shared" ref="N176:N188" si="158">M176*($F$5/$F$14)</f>
        <v>538.67094719998454</v>
      </c>
      <c r="O176" s="33">
        <f t="shared" si="135"/>
        <v>2.2117789551780525E-5</v>
      </c>
      <c r="P176" s="33">
        <f t="shared" ref="P176:P188" si="159">2*O176*N176</f>
        <v>2.3828421295655072E-2</v>
      </c>
      <c r="Q176" s="15"/>
      <c r="R176" s="33">
        <f t="shared" si="129"/>
        <v>18184.169776119401</v>
      </c>
      <c r="S176" s="33">
        <f t="shared" si="130"/>
        <v>3.8067710609233461E-6</v>
      </c>
      <c r="T176" s="33">
        <f t="shared" si="148"/>
        <v>0.13844594254129661</v>
      </c>
      <c r="U176" s="33">
        <f t="shared" si="131"/>
        <v>2.9623070716563657E-2</v>
      </c>
      <c r="V176" s="33">
        <f t="shared" si="132"/>
        <v>2.9623070716563658</v>
      </c>
      <c r="W176" s="13"/>
      <c r="X176" s="13"/>
      <c r="Y176" s="24">
        <v>1.26</v>
      </c>
      <c r="Z176" s="33">
        <f t="shared" ref="Z176:Z188" si="160">Y176-$Y$174</f>
        <v>1.2528578142371525</v>
      </c>
      <c r="AA176" s="24">
        <f t="shared" ref="AA176:AA188" si="161">Z176/2</f>
        <v>0.62642890711857624</v>
      </c>
      <c r="AC176" s="13"/>
      <c r="AD176" s="33">
        <f t="shared" si="151"/>
        <v>0.69430246836194787</v>
      </c>
      <c r="AE176" s="13"/>
      <c r="AF176" s="33">
        <f t="shared" si="152"/>
        <v>26.289148548536058</v>
      </c>
      <c r="AG176" s="15"/>
      <c r="AH176" s="15">
        <f t="shared" ref="AH176:AH188" si="162">P176*24.9</f>
        <v>0.59332769026181131</v>
      </c>
      <c r="AO176" s="10" t="s">
        <v>56</v>
      </c>
      <c r="AP176">
        <v>0.84330000000000005</v>
      </c>
      <c r="AR176">
        <v>0.82540000000000002</v>
      </c>
      <c r="AS176">
        <v>0.86129999999999995</v>
      </c>
      <c r="AW176" s="46" t="s">
        <v>58</v>
      </c>
      <c r="AX176" s="13">
        <v>0.78620000000000001</v>
      </c>
      <c r="AY176" s="13"/>
      <c r="AZ176" s="13">
        <v>0.77370000000000005</v>
      </c>
      <c r="BA176" s="13">
        <v>0.79859999999999998</v>
      </c>
    </row>
    <row r="177" spans="1:56" x14ac:dyDescent="0.25">
      <c r="A177" s="24">
        <v>2</v>
      </c>
      <c r="B177" s="27"/>
      <c r="C177" s="33">
        <v>1.5886301232922464</v>
      </c>
      <c r="D177" s="33"/>
      <c r="E177" s="33">
        <f t="shared" si="153"/>
        <v>1.59069043652117</v>
      </c>
      <c r="F177" s="33">
        <f t="shared" si="154"/>
        <v>1.66818943652117</v>
      </c>
      <c r="G177" s="24">
        <v>5158.84</v>
      </c>
      <c r="H177" s="24">
        <f t="shared" si="155"/>
        <v>5.1588400000000005</v>
      </c>
      <c r="I177" s="24">
        <f t="shared" si="156"/>
        <v>122.52245000000001</v>
      </c>
      <c r="J177" s="33">
        <f t="shared" si="149"/>
        <v>1.3615377724826511E-2</v>
      </c>
      <c r="K177" s="33">
        <f t="shared" si="150"/>
        <v>13.61537772482651</v>
      </c>
      <c r="L177" s="24">
        <v>597456.25</v>
      </c>
      <c r="M177" s="33">
        <f t="shared" si="157"/>
        <v>345.32971249999997</v>
      </c>
      <c r="N177" s="33">
        <f t="shared" si="158"/>
        <v>989.72342222333509</v>
      </c>
      <c r="O177" s="33">
        <f t="shared" si="135"/>
        <v>2.2187466600224617E-5</v>
      </c>
      <c r="P177" s="33">
        <f t="shared" si="159"/>
        <v>4.3918910748080506E-2</v>
      </c>
      <c r="Q177" s="15"/>
      <c r="R177" s="33">
        <f t="shared" si="129"/>
        <v>18286.932835820895</v>
      </c>
      <c r="S177" s="33">
        <f t="shared" si="130"/>
        <v>5.1617171887688799E-6</v>
      </c>
      <c r="T177" s="33">
        <f t="shared" si="148"/>
        <v>0.18878395109703749</v>
      </c>
      <c r="U177" s="33">
        <f t="shared" si="131"/>
        <v>5.4121892999171542E-2</v>
      </c>
      <c r="V177" s="33">
        <f t="shared" si="132"/>
        <v>5.4121892999171539</v>
      </c>
      <c r="W177" s="13"/>
      <c r="X177" s="13"/>
      <c r="Y177" s="24">
        <v>2.02</v>
      </c>
      <c r="Z177" s="33">
        <f t="shared" si="160"/>
        <v>2.0128578142371527</v>
      </c>
      <c r="AA177" s="24">
        <f t="shared" si="161"/>
        <v>1.0064289071185764</v>
      </c>
      <c r="AC177" s="13"/>
      <c r="AD177" s="33">
        <f t="shared" si="151"/>
        <v>0.60330612644171622</v>
      </c>
      <c r="AE177" s="13"/>
      <c r="AF177" s="33">
        <f t="shared" si="152"/>
        <v>22.915616302313754</v>
      </c>
      <c r="AG177" s="15"/>
      <c r="AH177" s="15">
        <f t="shared" si="162"/>
        <v>1.0935808776272045</v>
      </c>
    </row>
    <row r="178" spans="1:56" x14ac:dyDescent="0.25">
      <c r="A178" s="24">
        <v>3</v>
      </c>
      <c r="B178" s="27"/>
      <c r="C178" s="33">
        <v>3.2233982005997852</v>
      </c>
      <c r="D178" s="33"/>
      <c r="E178" s="33">
        <f t="shared" si="153"/>
        <v>3.2254585138287091</v>
      </c>
      <c r="F178" s="33">
        <f t="shared" si="154"/>
        <v>3.3029575138287091</v>
      </c>
      <c r="G178" s="24">
        <v>5188.32</v>
      </c>
      <c r="H178" s="24">
        <f t="shared" si="155"/>
        <v>5.18832</v>
      </c>
      <c r="I178" s="24">
        <f t="shared" si="156"/>
        <v>123.2226</v>
      </c>
      <c r="J178" s="33">
        <f>F178/I178</f>
        <v>2.6804802964948873E-2</v>
      </c>
      <c r="K178" s="33">
        <f t="shared" si="150"/>
        <v>26.804802964948873</v>
      </c>
      <c r="L178" s="24">
        <v>998664.13</v>
      </c>
      <c r="M178" s="33">
        <f t="shared" si="157"/>
        <v>577.22786713999994</v>
      </c>
      <c r="N178" s="33">
        <f t="shared" si="158"/>
        <v>1654.3492187005988</v>
      </c>
      <c r="O178" s="33">
        <f t="shared" si="135"/>
        <v>2.4147927076171024E-5</v>
      </c>
      <c r="P178" s="33">
        <f t="shared" si="159"/>
        <v>7.9898208583405142E-2</v>
      </c>
      <c r="Q178" s="15"/>
      <c r="R178" s="33">
        <f t="shared" si="129"/>
        <v>18391.432835820895</v>
      </c>
      <c r="S178" s="33">
        <f t="shared" si="130"/>
        <v>7.2424527121573246E-6</v>
      </c>
      <c r="T178" s="33">
        <f t="shared" si="148"/>
        <v>0.26639816524450061</v>
      </c>
      <c r="U178" s="33">
        <f t="shared" si="131"/>
        <v>8.9952165960578756E-2</v>
      </c>
      <c r="V178" s="33">
        <f t="shared" si="132"/>
        <v>8.995216596057876</v>
      </c>
      <c r="W178" s="13"/>
      <c r="X178" s="13"/>
      <c r="Y178" s="24">
        <v>3.48</v>
      </c>
      <c r="Z178" s="33">
        <f t="shared" si="160"/>
        <v>3.4728578142371527</v>
      </c>
      <c r="AA178" s="24">
        <f t="shared" si="161"/>
        <v>1.7364289071185763</v>
      </c>
      <c r="AC178" s="13"/>
      <c r="AD178" s="33">
        <f t="shared" si="151"/>
        <v>0.5257194195954854</v>
      </c>
      <c r="AE178" s="13"/>
      <c r="AF178" s="33">
        <f t="shared" si="152"/>
        <v>21.73301426784721</v>
      </c>
      <c r="AG178" s="15"/>
      <c r="AH178" s="15">
        <f t="shared" si="162"/>
        <v>1.9894653937267879</v>
      </c>
    </row>
    <row r="179" spans="1:56" x14ac:dyDescent="0.25">
      <c r="A179" s="24">
        <v>4</v>
      </c>
      <c r="B179" s="27"/>
      <c r="C179" s="33">
        <v>4.8014661779406786</v>
      </c>
      <c r="D179" s="33"/>
      <c r="E179" s="33">
        <f t="shared" si="153"/>
        <v>4.8035264911696025</v>
      </c>
      <c r="F179" s="33">
        <f t="shared" si="154"/>
        <v>4.8810254911696029</v>
      </c>
      <c r="G179" s="24">
        <v>5215.1000000000004</v>
      </c>
      <c r="H179" s="24">
        <f t="shared" si="155"/>
        <v>5.2151000000000005</v>
      </c>
      <c r="I179" s="24">
        <f>H179*$F$5</f>
        <v>123.85862500000002</v>
      </c>
      <c r="J179" s="33">
        <f t="shared" si="149"/>
        <v>3.9408038731009669E-2</v>
      </c>
      <c r="K179" s="33">
        <f t="shared" si="150"/>
        <v>39.408038731009668</v>
      </c>
      <c r="L179" s="24">
        <v>1323495.1299999999</v>
      </c>
      <c r="M179" s="33">
        <f t="shared" si="157"/>
        <v>764.98018513999989</v>
      </c>
      <c r="N179" s="33">
        <f t="shared" si="158"/>
        <v>2192.4519650761335</v>
      </c>
      <c r="O179" s="33">
        <f t="shared" si="135"/>
        <v>2.5499546201938893E-5</v>
      </c>
      <c r="P179" s="33">
        <f t="shared" si="159"/>
        <v>0.11181306035798116</v>
      </c>
      <c r="Q179" s="15"/>
      <c r="R179" s="33">
        <f t="shared" si="129"/>
        <v>18486.361940298506</v>
      </c>
      <c r="S179" s="33">
        <f t="shared" si="130"/>
        <v>8.7815619480760927E-6</v>
      </c>
      <c r="T179" s="33">
        <f t="shared" si="148"/>
        <v>0.324678265146575</v>
      </c>
      <c r="U179" s="33">
        <f t="shared" si="131"/>
        <v>0.11859834683301301</v>
      </c>
      <c r="V179" s="33">
        <f t="shared" si="132"/>
        <v>11.859834683301301</v>
      </c>
      <c r="W179" s="13"/>
      <c r="X179" s="13"/>
      <c r="Y179" s="24">
        <v>4.92</v>
      </c>
      <c r="Z179" s="33">
        <f t="shared" si="160"/>
        <v>4.9128578142371522</v>
      </c>
      <c r="AA179" s="24">
        <f t="shared" si="161"/>
        <v>2.4564289071185761</v>
      </c>
      <c r="AC179" s="13"/>
      <c r="AD179" s="33">
        <f t="shared" si="151"/>
        <v>0.50326082327629085</v>
      </c>
      <c r="AE179" s="13"/>
      <c r="AF179" s="33">
        <f t="shared" si="152"/>
        <v>21.969069617217013</v>
      </c>
      <c r="AG179" s="15"/>
      <c r="AH179" s="15">
        <f t="shared" si="162"/>
        <v>2.7841452029137308</v>
      </c>
    </row>
    <row r="180" spans="1:56" x14ac:dyDescent="0.25">
      <c r="A180" s="24">
        <v>5</v>
      </c>
      <c r="B180" s="27"/>
      <c r="C180" s="33">
        <v>6.5059670109963257</v>
      </c>
      <c r="D180" s="33"/>
      <c r="E180" s="33">
        <f t="shared" si="153"/>
        <v>6.5080273242252495</v>
      </c>
      <c r="F180" s="33">
        <f t="shared" si="154"/>
        <v>6.58552632422525</v>
      </c>
      <c r="G180" s="24">
        <v>5268.28</v>
      </c>
      <c r="H180" s="24">
        <f t="shared" si="155"/>
        <v>5.2682799999999999</v>
      </c>
      <c r="I180" s="24">
        <f t="shared" ref="I180" si="163">H180*$F$5</f>
        <v>125.12165</v>
      </c>
      <c r="J180" s="33">
        <f t="shared" si="149"/>
        <v>5.2632988169715234E-2</v>
      </c>
      <c r="K180" s="33">
        <f t="shared" si="150"/>
        <v>52.632988169715233</v>
      </c>
      <c r="L180" s="24">
        <v>1623605.63</v>
      </c>
      <c r="M180" s="33">
        <f t="shared" si="157"/>
        <v>938.44405413999993</v>
      </c>
      <c r="N180" s="33">
        <f t="shared" si="158"/>
        <v>2689.603666318118</v>
      </c>
      <c r="O180" s="33">
        <f t="shared" si="135"/>
        <v>2.6741949128904669E-5</v>
      </c>
      <c r="P180" s="33">
        <f t="shared" si="159"/>
        <v>0.14385048884318921</v>
      </c>
      <c r="Q180" s="15"/>
      <c r="R180" s="33">
        <f t="shared" si="129"/>
        <v>18674.873134328354</v>
      </c>
      <c r="S180" s="33">
        <f t="shared" si="130"/>
        <v>1.0148652270912275E-5</v>
      </c>
      <c r="T180" s="33">
        <f t="shared" si="148"/>
        <v>0.37904958728740018</v>
      </c>
      <c r="U180" s="33">
        <f t="shared" si="131"/>
        <v>0.14402259372643658</v>
      </c>
      <c r="V180" s="33">
        <f t="shared" si="132"/>
        <v>14.402259372643659</v>
      </c>
      <c r="W180" s="13"/>
      <c r="X180" s="13"/>
      <c r="Y180" s="24">
        <v>6.52</v>
      </c>
      <c r="Z180" s="33">
        <f t="shared" si="160"/>
        <v>6.5128578142371518</v>
      </c>
      <c r="AA180" s="24">
        <f t="shared" si="161"/>
        <v>3.2564289071185759</v>
      </c>
      <c r="AC180" s="13"/>
      <c r="AD180" s="33">
        <f t="shared" si="151"/>
        <v>0.49448271053744158</v>
      </c>
      <c r="AE180" s="13"/>
      <c r="AF180" s="33">
        <f t="shared" si="152"/>
        <v>22.637593610602149</v>
      </c>
      <c r="AG180" s="15"/>
      <c r="AH180" s="15">
        <f t="shared" si="162"/>
        <v>3.5818771721954112</v>
      </c>
    </row>
    <row r="181" spans="1:56" x14ac:dyDescent="0.25">
      <c r="A181" s="24">
        <v>6</v>
      </c>
      <c r="B181" s="27"/>
      <c r="C181" s="33">
        <v>7.9898640453182246</v>
      </c>
      <c r="D181" s="33"/>
      <c r="E181" s="33">
        <f t="shared" si="153"/>
        <v>7.9919243585471484</v>
      </c>
      <c r="F181" s="33">
        <f t="shared" si="154"/>
        <v>8.069423358547148</v>
      </c>
      <c r="G181" s="24">
        <v>5327.62</v>
      </c>
      <c r="H181" s="24">
        <f t="shared" si="155"/>
        <v>5.3276199999999996</v>
      </c>
      <c r="I181" s="24">
        <f>H181*$F$5</f>
        <v>126.53097499999998</v>
      </c>
      <c r="J181" s="33">
        <f t="shared" si="149"/>
        <v>6.3774292093672316E-2</v>
      </c>
      <c r="K181" s="33">
        <f t="shared" si="150"/>
        <v>63.774292093672315</v>
      </c>
      <c r="L181" s="24">
        <v>1839594.65</v>
      </c>
      <c r="M181" s="33">
        <f t="shared" si="157"/>
        <v>1063.2857076999999</v>
      </c>
      <c r="N181" s="33">
        <f t="shared" si="158"/>
        <v>3047.4029060734379</v>
      </c>
      <c r="O181" s="33">
        <f t="shared" si="135"/>
        <v>2.7809825847018156E-5</v>
      </c>
      <c r="P181" s="33">
        <f t="shared" si="159"/>
        <v>0.16949548820719867</v>
      </c>
      <c r="Q181" s="15"/>
      <c r="R181" s="33">
        <f t="shared" si="129"/>
        <v>18885.220149253728</v>
      </c>
      <c r="S181" s="33">
        <f t="shared" si="130"/>
        <v>1.1171260572246177E-5</v>
      </c>
      <c r="T181" s="33">
        <f t="shared" si="148"/>
        <v>0.42194343050309446</v>
      </c>
      <c r="U181" s="33">
        <f t="shared" si="131"/>
        <v>0.16136443642113749</v>
      </c>
      <c r="V181" s="33">
        <f t="shared" si="132"/>
        <v>16.136443642113747</v>
      </c>
      <c r="W181" s="13"/>
      <c r="X181" s="13"/>
      <c r="Y181" s="24">
        <v>7.69</v>
      </c>
      <c r="Z181" s="33">
        <f t="shared" si="160"/>
        <v>7.6828578142371526</v>
      </c>
      <c r="AA181" s="24">
        <f t="shared" si="161"/>
        <v>3.8414289071185763</v>
      </c>
      <c r="AC181" s="13"/>
      <c r="AD181" s="33">
        <f t="shared" si="151"/>
        <v>0.4760475112573847</v>
      </c>
      <c r="AE181" s="13"/>
      <c r="AF181" s="33">
        <f t="shared" si="152"/>
        <v>22.663900660427291</v>
      </c>
      <c r="AG181" s="15"/>
      <c r="AH181" s="15">
        <f t="shared" si="162"/>
        <v>4.2204376563592465</v>
      </c>
    </row>
    <row r="182" spans="1:56" x14ac:dyDescent="0.25">
      <c r="A182" s="24">
        <v>7</v>
      </c>
      <c r="B182" s="27"/>
      <c r="C182" s="33">
        <v>12.101666777740714</v>
      </c>
      <c r="D182" s="33"/>
      <c r="E182" s="33">
        <f t="shared" si="153"/>
        <v>12.103727090969638</v>
      </c>
      <c r="F182" s="33">
        <f t="shared" si="154"/>
        <v>12.181226090969638</v>
      </c>
      <c r="G182" s="24">
        <v>5393.13</v>
      </c>
      <c r="H182" s="24">
        <f t="shared" si="155"/>
        <v>5.3931300000000002</v>
      </c>
      <c r="I182" s="24">
        <f t="shared" ref="I182:I188" si="164">H182*$F$5</f>
        <v>128.0868375</v>
      </c>
      <c r="J182" s="33">
        <f t="shared" si="149"/>
        <v>9.51013103978747E-2</v>
      </c>
      <c r="K182" s="33">
        <f t="shared" si="150"/>
        <v>95.101310397874698</v>
      </c>
      <c r="L182" s="24">
        <v>2166332.6499999994</v>
      </c>
      <c r="M182" s="33">
        <f t="shared" si="157"/>
        <v>1252.1402716999996</v>
      </c>
      <c r="N182" s="33">
        <f t="shared" si="158"/>
        <v>3588.6647165079385</v>
      </c>
      <c r="O182" s="33">
        <f t="shared" si="135"/>
        <v>3.1486255622168299E-5</v>
      </c>
      <c r="P182" s="33">
        <f t="shared" si="159"/>
        <v>0.22598722921245018</v>
      </c>
      <c r="Q182" s="15"/>
      <c r="R182" s="33">
        <f t="shared" si="129"/>
        <v>19117.438432835821</v>
      </c>
      <c r="S182" s="33">
        <f t="shared" si="130"/>
        <v>1.3641829247076439E-5</v>
      </c>
      <c r="T182" s="33">
        <f t="shared" si="148"/>
        <v>0.52159366148448572</v>
      </c>
      <c r="U182" s="33">
        <f t="shared" si="131"/>
        <v>0.18771681829214643</v>
      </c>
      <c r="V182" s="33">
        <f t="shared" si="132"/>
        <v>18.771681829214643</v>
      </c>
      <c r="W182" s="13"/>
      <c r="X182" s="13"/>
      <c r="Y182" s="24">
        <v>10.73</v>
      </c>
      <c r="Z182" s="33">
        <f t="shared" si="160"/>
        <v>10.722857814237154</v>
      </c>
      <c r="AA182" s="24">
        <f t="shared" si="161"/>
        <v>5.3614289071185768</v>
      </c>
      <c r="AC182" s="13"/>
      <c r="AD182" s="33">
        <f t="shared" si="151"/>
        <v>0.44013869105452269</v>
      </c>
      <c r="AE182" s="13"/>
      <c r="AF182" s="33">
        <f t="shared" si="152"/>
        <v>23.72447737778274</v>
      </c>
      <c r="AG182" s="15"/>
      <c r="AH182" s="15">
        <f t="shared" si="162"/>
        <v>5.6270820073900092</v>
      </c>
    </row>
    <row r="183" spans="1:56" x14ac:dyDescent="0.25">
      <c r="A183" s="24">
        <v>8</v>
      </c>
      <c r="B183" s="27"/>
      <c r="C183" s="33">
        <v>18.03391169610137</v>
      </c>
      <c r="D183" s="33"/>
      <c r="E183" s="33">
        <f t="shared" si="153"/>
        <v>18.035972009330294</v>
      </c>
      <c r="F183" s="33">
        <f t="shared" si="154"/>
        <v>18.113471009330294</v>
      </c>
      <c r="G183" s="24">
        <v>5475.59</v>
      </c>
      <c r="H183" s="24">
        <f t="shared" si="155"/>
        <v>5.4755900000000004</v>
      </c>
      <c r="I183" s="24">
        <f t="shared" si="164"/>
        <v>130.04526250000001</v>
      </c>
      <c r="J183" s="33">
        <f t="shared" si="149"/>
        <v>0.13928589678020983</v>
      </c>
      <c r="K183" s="33">
        <f t="shared" si="150"/>
        <v>139.28589678020984</v>
      </c>
      <c r="L183" s="24">
        <v>2624335.15</v>
      </c>
      <c r="M183" s="33">
        <f t="shared" si="157"/>
        <v>1516.8657166999997</v>
      </c>
      <c r="N183" s="33">
        <f t="shared" si="158"/>
        <v>4347.3743319598534</v>
      </c>
      <c r="O183" s="33">
        <f t="shared" si="135"/>
        <v>3.4884241070808193E-5</v>
      </c>
      <c r="P183" s="33">
        <f t="shared" si="159"/>
        <v>0.30330970844226252</v>
      </c>
      <c r="Q183" s="15"/>
      <c r="R183" s="33">
        <f t="shared" si="129"/>
        <v>19409.74067164179</v>
      </c>
      <c r="S183" s="33">
        <f t="shared" si="130"/>
        <v>1.6509462381852056E-5</v>
      </c>
      <c r="T183" s="33">
        <f t="shared" si="148"/>
        <v>0.64088876691994801</v>
      </c>
      <c r="U183" s="33">
        <f t="shared" si="131"/>
        <v>0.2239790013429441</v>
      </c>
      <c r="V183" s="33">
        <f t="shared" si="132"/>
        <v>22.39790013429441</v>
      </c>
      <c r="W183" s="13"/>
      <c r="X183" s="13"/>
      <c r="Y183" s="24">
        <v>14.27</v>
      </c>
      <c r="Z183" s="33">
        <f t="shared" si="160"/>
        <v>14.262857814237153</v>
      </c>
      <c r="AA183" s="24">
        <f t="shared" si="161"/>
        <v>7.1314289071185764</v>
      </c>
      <c r="AC183" s="13"/>
      <c r="AD183" s="33">
        <f t="shared" si="151"/>
        <v>0.39370857763512912</v>
      </c>
      <c r="AE183" s="13"/>
      <c r="AF183" s="33">
        <f t="shared" si="152"/>
        <v>23.512036405772029</v>
      </c>
      <c r="AG183" s="15"/>
      <c r="AH183" s="15">
        <f t="shared" si="162"/>
        <v>7.5524117402123361</v>
      </c>
    </row>
    <row r="184" spans="1:56" x14ac:dyDescent="0.25">
      <c r="A184" s="24">
        <v>9</v>
      </c>
      <c r="B184" s="27"/>
      <c r="C184" s="33">
        <v>24.116510829723588</v>
      </c>
      <c r="D184" s="33"/>
      <c r="E184" s="33">
        <f t="shared" si="153"/>
        <v>24.118571142952511</v>
      </c>
      <c r="F184" s="33">
        <f t="shared" si="154"/>
        <v>24.196070142952511</v>
      </c>
      <c r="G184" s="24">
        <v>5557.57</v>
      </c>
      <c r="H184" s="24">
        <f t="shared" si="155"/>
        <v>5.5575700000000001</v>
      </c>
      <c r="I184" s="24">
        <f t="shared" si="164"/>
        <v>131.9922875</v>
      </c>
      <c r="J184" s="33">
        <f t="shared" si="149"/>
        <v>0.18331427238089582</v>
      </c>
      <c r="K184" s="33">
        <f t="shared" si="150"/>
        <v>183.31427238089583</v>
      </c>
      <c r="L184" s="24">
        <v>3120362.3899999997</v>
      </c>
      <c r="M184" s="33">
        <f t="shared" si="157"/>
        <v>1803.5694614199997</v>
      </c>
      <c r="N184" s="33">
        <f t="shared" si="158"/>
        <v>5169.0742932353369</v>
      </c>
      <c r="O184" s="33">
        <f t="shared" si="135"/>
        <v>3.697498339645841E-5</v>
      </c>
      <c r="P184" s="33">
        <f t="shared" si="159"/>
        <v>0.38225287233487315</v>
      </c>
      <c r="Q184" s="15"/>
      <c r="R184" s="33">
        <f t="shared" si="129"/>
        <v>19700.341417910447</v>
      </c>
      <c r="S184" s="33">
        <f t="shared" si="130"/>
        <v>1.8939892005237241E-5</v>
      </c>
      <c r="T184" s="33">
        <f t="shared" si="148"/>
        <v>0.74624467784305237</v>
      </c>
      <c r="U184" s="33">
        <f t="shared" si="131"/>
        <v>0.26238501067478476</v>
      </c>
      <c r="V184" s="33">
        <f t="shared" si="132"/>
        <v>26.238501067478477</v>
      </c>
      <c r="W184" s="13"/>
      <c r="X184" s="13"/>
      <c r="Y184" s="24">
        <v>18.46</v>
      </c>
      <c r="Z184" s="33">
        <f t="shared" si="160"/>
        <v>18.452857814237152</v>
      </c>
      <c r="AA184" s="24">
        <f t="shared" si="161"/>
        <v>9.2264289071185761</v>
      </c>
      <c r="AC184" s="13"/>
      <c r="AD184" s="33">
        <f t="shared" si="151"/>
        <v>0.38131931559993099</v>
      </c>
      <c r="AE184" s="13"/>
      <c r="AF184" s="33">
        <f t="shared" si="152"/>
        <v>24.136977312326774</v>
      </c>
      <c r="AG184" s="15"/>
      <c r="AH184" s="15">
        <f t="shared" si="162"/>
        <v>9.5180965211383413</v>
      </c>
    </row>
    <row r="185" spans="1:56" x14ac:dyDescent="0.25">
      <c r="A185" s="24">
        <v>10</v>
      </c>
      <c r="B185" s="27"/>
      <c r="C185" s="33">
        <v>30.025358547151377</v>
      </c>
      <c r="D185" s="33"/>
      <c r="E185" s="33">
        <f t="shared" si="153"/>
        <v>30.027418860380301</v>
      </c>
      <c r="F185" s="33">
        <f t="shared" si="154"/>
        <v>30.104917860380301</v>
      </c>
      <c r="G185" s="24">
        <v>5643.78</v>
      </c>
      <c r="H185" s="24">
        <f t="shared" si="155"/>
        <v>5.6437799999999996</v>
      </c>
      <c r="I185" s="24">
        <f t="shared" si="164"/>
        <v>134.03977499999999</v>
      </c>
      <c r="J185" s="33">
        <f t="shared" si="149"/>
        <v>0.22459689939333533</v>
      </c>
      <c r="K185" s="33">
        <f t="shared" si="150"/>
        <v>224.59689939333532</v>
      </c>
      <c r="L185" s="24">
        <v>3593564.0299999993</v>
      </c>
      <c r="M185" s="33">
        <f t="shared" si="157"/>
        <v>2077.0800093399994</v>
      </c>
      <c r="N185" s="33">
        <f t="shared" si="158"/>
        <v>5952.962229033973</v>
      </c>
      <c r="O185" s="33">
        <f t="shared" si="135"/>
        <v>3.8432100120405944E-5</v>
      </c>
      <c r="P185" s="33">
        <f t="shared" si="159"/>
        <v>0.45756968079845717</v>
      </c>
      <c r="Q185" s="15"/>
      <c r="R185" s="33">
        <f t="shared" si="129"/>
        <v>20005.936567164175</v>
      </c>
      <c r="S185" s="33">
        <f t="shared" si="130"/>
        <v>2.0964342047142225E-5</v>
      </c>
      <c r="T185" s="33">
        <f t="shared" si="148"/>
        <v>0.83882259433492024</v>
      </c>
      <c r="U185" s="33">
        <f t="shared" si="131"/>
        <v>0.29755978726857479</v>
      </c>
      <c r="V185" s="33">
        <f t="shared" si="132"/>
        <v>29.755978726857478</v>
      </c>
      <c r="W185" s="13"/>
      <c r="X185" s="13"/>
      <c r="Y185" s="24">
        <v>22.31</v>
      </c>
      <c r="Z185" s="33">
        <f t="shared" si="160"/>
        <v>22.30285781423715</v>
      </c>
      <c r="AA185" s="24">
        <f t="shared" si="161"/>
        <v>11.151428907118575</v>
      </c>
      <c r="AC185" s="13"/>
      <c r="AD185" s="33">
        <f t="shared" si="151"/>
        <v>0.37041884514803669</v>
      </c>
      <c r="AE185" s="13"/>
      <c r="AF185" s="33">
        <f t="shared" si="152"/>
        <v>24.370996101969386</v>
      </c>
      <c r="AG185" s="15"/>
      <c r="AH185" s="15">
        <f t="shared" si="162"/>
        <v>11.393485051881584</v>
      </c>
    </row>
    <row r="186" spans="1:56" x14ac:dyDescent="0.25">
      <c r="A186" s="24">
        <v>11</v>
      </c>
      <c r="B186" s="27"/>
      <c r="C186" s="33">
        <v>36.222048317227632</v>
      </c>
      <c r="D186" s="33"/>
      <c r="E186" s="33">
        <f t="shared" si="153"/>
        <v>36.224108630456556</v>
      </c>
      <c r="F186" s="33">
        <f t="shared" si="154"/>
        <v>36.301607630456559</v>
      </c>
      <c r="G186" s="24">
        <v>5724.32</v>
      </c>
      <c r="H186" s="24">
        <f t="shared" si="155"/>
        <v>5.7243199999999996</v>
      </c>
      <c r="I186" s="24">
        <f t="shared" si="164"/>
        <v>135.95259999999999</v>
      </c>
      <c r="J186" s="33">
        <f t="shared" si="149"/>
        <v>0.26701664867355651</v>
      </c>
      <c r="K186" s="33">
        <f t="shared" si="150"/>
        <v>267.01664867355652</v>
      </c>
      <c r="L186" s="24">
        <v>4010842.26</v>
      </c>
      <c r="M186" s="33">
        <f t="shared" si="157"/>
        <v>2318.2668262799998</v>
      </c>
      <c r="N186" s="33">
        <f t="shared" si="158"/>
        <v>6644.2095593864415</v>
      </c>
      <c r="O186" s="33">
        <f t="shared" si="135"/>
        <v>3.9946913176154045E-5</v>
      </c>
      <c r="P186" s="33">
        <f t="shared" si="159"/>
        <v>0.53083132478596584</v>
      </c>
      <c r="Q186" s="15"/>
      <c r="R186" s="33">
        <f t="shared" si="129"/>
        <v>20291.432835820891</v>
      </c>
      <c r="S186" s="33">
        <f t="shared" si="130"/>
        <v>2.2858542156674908E-5</v>
      </c>
      <c r="T186" s="33">
        <f t="shared" si="148"/>
        <v>0.92766514579389869</v>
      </c>
      <c r="U186" s="33">
        <f t="shared" si="131"/>
        <v>0.32743915193890494</v>
      </c>
      <c r="V186" s="33">
        <f t="shared" si="132"/>
        <v>32.743915193890494</v>
      </c>
      <c r="W186" s="13"/>
      <c r="X186" s="13"/>
      <c r="Y186" s="24">
        <v>26.17</v>
      </c>
      <c r="Z186" s="33">
        <f t="shared" si="160"/>
        <v>26.162857814237153</v>
      </c>
      <c r="AA186" s="24">
        <f t="shared" si="161"/>
        <v>13.081428907118577</v>
      </c>
      <c r="AC186" s="13"/>
      <c r="AD186" s="33">
        <f t="shared" si="151"/>
        <v>0.3603539832253444</v>
      </c>
      <c r="AE186" s="13"/>
      <c r="AF186" s="33">
        <f t="shared" si="152"/>
        <v>24.64328741788756</v>
      </c>
      <c r="AG186" s="15"/>
      <c r="AH186" s="15">
        <f t="shared" si="162"/>
        <v>13.217699987170549</v>
      </c>
    </row>
    <row r="187" spans="1:56" x14ac:dyDescent="0.25">
      <c r="A187" s="24">
        <v>12</v>
      </c>
      <c r="B187" s="27"/>
      <c r="C187" s="33">
        <v>42.508711096301283</v>
      </c>
      <c r="D187" s="33"/>
      <c r="E187" s="33">
        <f t="shared" si="153"/>
        <v>42.510771409530207</v>
      </c>
      <c r="F187" s="33">
        <f t="shared" si="154"/>
        <v>42.58827040953021</v>
      </c>
      <c r="G187" s="24">
        <v>5814.68</v>
      </c>
      <c r="H187" s="24">
        <f t="shared" si="155"/>
        <v>5.8146800000000001</v>
      </c>
      <c r="I187" s="24">
        <f t="shared" si="164"/>
        <v>138.09864999999999</v>
      </c>
      <c r="J187" s="33">
        <f t="shared" si="149"/>
        <v>0.30839020084215313</v>
      </c>
      <c r="K187" s="33">
        <f t="shared" si="150"/>
        <v>308.39020084215315</v>
      </c>
      <c r="L187" s="24">
        <v>4429089.0399999991</v>
      </c>
      <c r="M187" s="33">
        <f t="shared" si="157"/>
        <v>2560.0134651199992</v>
      </c>
      <c r="N187" s="33">
        <f t="shared" si="158"/>
        <v>7337.0613530290539</v>
      </c>
      <c r="O187" s="33">
        <f t="shared" si="135"/>
        <v>4.1174267663056774E-5</v>
      </c>
      <c r="P187" s="33">
        <f t="shared" si="159"/>
        <v>0.60419625601977556</v>
      </c>
      <c r="Q187" s="15"/>
      <c r="R187" s="33">
        <f t="shared" si="129"/>
        <v>20611.738805970148</v>
      </c>
      <c r="S187" s="33">
        <f t="shared" si="130"/>
        <v>2.4565728265279908E-5</v>
      </c>
      <c r="T187" s="33">
        <f t="shared" si="148"/>
        <v>1.0126847491647752</v>
      </c>
      <c r="U187" s="33">
        <f t="shared" si="131"/>
        <v>0.35596518188479515</v>
      </c>
      <c r="V187" s="33">
        <f t="shared" si="132"/>
        <v>35.596518188479514</v>
      </c>
      <c r="W187" s="13"/>
      <c r="X187" s="13"/>
      <c r="Y187" s="24">
        <v>30.57</v>
      </c>
      <c r="Z187" s="33">
        <f t="shared" si="160"/>
        <v>30.562857814237152</v>
      </c>
      <c r="AA187" s="24">
        <f>Z187/2</f>
        <v>15.281428907118576</v>
      </c>
      <c r="AC187" s="13"/>
      <c r="AD187" s="33">
        <f t="shared" si="151"/>
        <v>0.35881778621606025</v>
      </c>
      <c r="AE187" s="13"/>
      <c r="AF187" s="33">
        <f t="shared" si="152"/>
        <v>25.292160874658595</v>
      </c>
      <c r="AG187" s="15"/>
      <c r="AH187" s="15">
        <f t="shared" si="162"/>
        <v>15.044486774892411</v>
      </c>
    </row>
    <row r="188" spans="1:56" x14ac:dyDescent="0.25">
      <c r="A188" s="25">
        <v>13</v>
      </c>
      <c r="B188" s="28"/>
      <c r="C188" s="25">
        <v>48.049847384205549</v>
      </c>
      <c r="D188" s="25"/>
      <c r="E188" s="25">
        <f t="shared" si="153"/>
        <v>48.051907697434473</v>
      </c>
      <c r="F188" s="25">
        <f t="shared" si="154"/>
        <v>48.129406697434476</v>
      </c>
      <c r="G188" s="25">
        <v>5900.22</v>
      </c>
      <c r="H188" s="25">
        <f t="shared" si="155"/>
        <v>5.90022</v>
      </c>
      <c r="I188" s="25">
        <f t="shared" si="164"/>
        <v>140.130225</v>
      </c>
      <c r="J188" s="25">
        <f t="shared" si="149"/>
        <v>0.34346199542200462</v>
      </c>
      <c r="K188" s="25">
        <f t="shared" si="150"/>
        <v>343.46199542200463</v>
      </c>
      <c r="L188" s="25">
        <v>4750458.1599999992</v>
      </c>
      <c r="M188" s="25">
        <f t="shared" si="157"/>
        <v>2745.7648164799994</v>
      </c>
      <c r="N188" s="25">
        <f t="shared" si="158"/>
        <v>7869.4292799581008</v>
      </c>
      <c r="O188" s="25">
        <f t="shared" si="135"/>
        <v>4.2264486121749212E-5</v>
      </c>
      <c r="P188" s="25">
        <f t="shared" si="159"/>
        <v>0.66519476917775211</v>
      </c>
      <c r="Q188" s="15"/>
      <c r="R188" s="25">
        <f t="shared" si="129"/>
        <v>20914.958955223879</v>
      </c>
      <c r="S188" s="25">
        <f t="shared" si="130"/>
        <v>2.5924996297294974E-5</v>
      </c>
      <c r="T188" s="25">
        <f t="shared" si="148"/>
        <v>1.0844404669445109</v>
      </c>
      <c r="U188" s="25">
        <f t="shared" si="131"/>
        <v>0.37625841374135577</v>
      </c>
      <c r="V188" s="33">
        <f t="shared" si="132"/>
        <v>37.625841374135575</v>
      </c>
      <c r="W188" s="13"/>
      <c r="X188" s="13"/>
      <c r="Y188" s="25">
        <v>33.51</v>
      </c>
      <c r="Z188" s="25">
        <f t="shared" si="160"/>
        <v>33.502857814237153</v>
      </c>
      <c r="AA188" s="25">
        <f t="shared" si="161"/>
        <v>16.751428907118576</v>
      </c>
      <c r="AB188" s="15"/>
      <c r="AC188" s="13"/>
      <c r="AD188" s="25">
        <f t="shared" si="151"/>
        <v>0.34804976949802097</v>
      </c>
      <c r="AE188" s="2"/>
      <c r="AF188" s="25">
        <f t="shared" si="152"/>
        <v>25.182742984923099</v>
      </c>
      <c r="AG188" s="2"/>
      <c r="AH188" s="2">
        <f t="shared" si="162"/>
        <v>16.563349752526026</v>
      </c>
    </row>
    <row r="189" spans="1:56" x14ac:dyDescent="0.25">
      <c r="E189" s="13"/>
      <c r="F189" s="13"/>
      <c r="H189" s="13"/>
      <c r="I189" s="13"/>
      <c r="J189" s="13"/>
      <c r="M189" s="13"/>
      <c r="N189" s="13"/>
      <c r="O189" s="33"/>
      <c r="P189" s="13"/>
      <c r="Q189" s="15"/>
      <c r="R189" s="33"/>
      <c r="S189" s="33"/>
      <c r="T189" s="33"/>
      <c r="U189" s="33"/>
      <c r="V189" s="33"/>
      <c r="AF189" s="33"/>
      <c r="AG189" s="15"/>
      <c r="AH189" s="15"/>
    </row>
    <row r="190" spans="1:56" x14ac:dyDescent="0.25">
      <c r="E190" s="13"/>
      <c r="F190" s="13"/>
      <c r="H190" s="13"/>
      <c r="I190" s="13"/>
      <c r="J190" s="13"/>
      <c r="M190" s="13"/>
      <c r="N190" s="13"/>
      <c r="O190" s="33"/>
      <c r="P190" s="13"/>
      <c r="Q190" s="15"/>
      <c r="R190" s="33"/>
      <c r="S190" s="33"/>
      <c r="T190" s="33"/>
      <c r="U190" s="33"/>
      <c r="V190" s="33"/>
      <c r="Y190" s="10" t="s">
        <v>28</v>
      </c>
      <c r="Z190" s="10" t="s">
        <v>28</v>
      </c>
      <c r="AA190" s="10" t="s">
        <v>28</v>
      </c>
      <c r="AF190" s="33"/>
      <c r="AG190" s="15"/>
      <c r="AH190" s="15"/>
    </row>
    <row r="191" spans="1:56" x14ac:dyDescent="0.25">
      <c r="A191" s="18" t="s">
        <v>26</v>
      </c>
      <c r="B191" s="18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5"/>
      <c r="P191" s="2"/>
      <c r="Q191" s="15"/>
      <c r="R191" s="25"/>
      <c r="S191" s="33"/>
      <c r="T191" s="33"/>
      <c r="U191" s="33"/>
      <c r="V191" s="33"/>
      <c r="W191" s="13"/>
      <c r="X191" s="13"/>
      <c r="Y191" s="18" t="s">
        <v>27</v>
      </c>
      <c r="Z191" s="18" t="s">
        <v>29</v>
      </c>
      <c r="AA191" s="18" t="s">
        <v>30</v>
      </c>
      <c r="AB191" s="26"/>
      <c r="AC191" s="13"/>
      <c r="AD191" s="18" t="s">
        <v>14</v>
      </c>
      <c r="AE191" s="2"/>
      <c r="AF191" s="20" t="s">
        <v>17</v>
      </c>
      <c r="AG191" s="2"/>
      <c r="AH191" s="18" t="s">
        <v>16</v>
      </c>
      <c r="AO191" s="18" t="s">
        <v>60</v>
      </c>
      <c r="AP191" s="18"/>
      <c r="AQ191" s="2"/>
      <c r="AR191" s="2"/>
      <c r="AS191" s="2"/>
      <c r="AT191" s="13"/>
      <c r="AU191" s="13"/>
      <c r="AV191" s="13"/>
      <c r="AW191" s="18" t="s">
        <v>61</v>
      </c>
      <c r="AX191" s="18"/>
      <c r="AY191" s="2"/>
      <c r="AZ191" s="2"/>
      <c r="BA191" s="2"/>
      <c r="BD191" s="2"/>
    </row>
    <row r="192" spans="1:56" ht="18.75" x14ac:dyDescent="0.35">
      <c r="A192" s="18" t="s">
        <v>0</v>
      </c>
      <c r="B192" s="18"/>
      <c r="C192" s="18" t="s">
        <v>12</v>
      </c>
      <c r="D192" s="18"/>
      <c r="E192" s="18" t="s">
        <v>13</v>
      </c>
      <c r="F192" s="18" t="s">
        <v>1</v>
      </c>
      <c r="G192" s="18" t="s">
        <v>19</v>
      </c>
      <c r="H192" s="18" t="s">
        <v>2</v>
      </c>
      <c r="I192" s="18" t="s">
        <v>3</v>
      </c>
      <c r="J192" s="20" t="s">
        <v>4</v>
      </c>
      <c r="K192" s="20" t="s">
        <v>15</v>
      </c>
      <c r="L192" s="18" t="s">
        <v>33</v>
      </c>
      <c r="M192" s="18" t="s">
        <v>34</v>
      </c>
      <c r="N192" s="18" t="s">
        <v>35</v>
      </c>
      <c r="O192" s="20" t="s">
        <v>9</v>
      </c>
      <c r="P192" s="18" t="s">
        <v>40</v>
      </c>
      <c r="Q192" s="26"/>
      <c r="R192" s="18" t="s">
        <v>43</v>
      </c>
      <c r="S192" s="20" t="s">
        <v>41</v>
      </c>
      <c r="T192" s="21" t="s">
        <v>42</v>
      </c>
      <c r="U192" s="21" t="s">
        <v>44</v>
      </c>
      <c r="V192" s="33"/>
      <c r="W192" s="13"/>
      <c r="X192" s="35" t="s">
        <v>32</v>
      </c>
      <c r="Y192" s="34">
        <v>1.725462667466408E-2</v>
      </c>
      <c r="Z192" s="19"/>
      <c r="AA192" s="19"/>
      <c r="AB192" s="15"/>
      <c r="AC192" s="13"/>
      <c r="AD192" s="19"/>
      <c r="AE192" s="19"/>
      <c r="AF192" s="19"/>
      <c r="AG192" s="19"/>
      <c r="AH192" s="19"/>
      <c r="AI192" s="13"/>
      <c r="AJ192" s="13"/>
      <c r="AK192" s="13"/>
      <c r="AL192" s="13"/>
      <c r="AM192" s="13"/>
      <c r="AN192" s="13"/>
      <c r="AO192" s="19"/>
      <c r="AP192" s="20" t="s">
        <v>48</v>
      </c>
      <c r="AQ192" s="20"/>
      <c r="AR192" s="20" t="s">
        <v>47</v>
      </c>
      <c r="AS192" s="20"/>
      <c r="AW192" s="19"/>
      <c r="AX192" s="20" t="s">
        <v>48</v>
      </c>
      <c r="AY192" s="20"/>
      <c r="AZ192" s="20" t="s">
        <v>47</v>
      </c>
      <c r="BA192" s="20"/>
      <c r="BD192" s="2" t="s">
        <v>59</v>
      </c>
    </row>
    <row r="193" spans="1:56" ht="18" x14ac:dyDescent="0.35">
      <c r="A193" s="24">
        <v>0</v>
      </c>
      <c r="B193" s="27"/>
      <c r="C193" s="24">
        <v>-1.4571809396867427E-3</v>
      </c>
      <c r="D193" s="24"/>
      <c r="E193" s="32">
        <f>C193-$C$193</f>
        <v>0</v>
      </c>
      <c r="F193" s="32">
        <f>E193+($F$2*9.81)</f>
        <v>7.7499000000000012E-2</v>
      </c>
      <c r="G193" s="22">
        <v>5385.42</v>
      </c>
      <c r="H193" s="22">
        <f>G193/1000</f>
        <v>5.3854199999999999</v>
      </c>
      <c r="I193" s="22">
        <f>H193*$F$5</f>
        <v>127.90372499999999</v>
      </c>
      <c r="J193" s="33">
        <f t="shared" ref="J193:J206" si="165">F193/I193</f>
        <v>6.0591667678169662E-4</v>
      </c>
      <c r="K193" s="33">
        <f t="shared" ref="K193:K206" si="166">J193*1000</f>
        <v>0.60591667678169658</v>
      </c>
      <c r="L193" s="24">
        <v>30233.25</v>
      </c>
      <c r="M193" s="32">
        <f>((L193*$F$6)/1000)</f>
        <v>17.474818499999998</v>
      </c>
      <c r="N193" s="33">
        <f>M193*($F$5/$F$14)</f>
        <v>50.083258238462889</v>
      </c>
      <c r="O193" s="33">
        <f t="shared" si="135"/>
        <v>2.1259043435683535E-5</v>
      </c>
      <c r="P193" s="32">
        <f>2*O193*N193</f>
        <v>2.1294443245840756E-3</v>
      </c>
      <c r="Q193" s="15"/>
      <c r="R193" s="33">
        <f t="shared" si="129"/>
        <v>19090.108208955222</v>
      </c>
      <c r="S193" s="33">
        <f t="shared" si="130"/>
        <v>1.0888945185529701E-6</v>
      </c>
      <c r="T193" s="33">
        <f t="shared" si="148"/>
        <v>4.1574228374628798E-2</v>
      </c>
      <c r="U193" s="33">
        <f t="shared" si="131"/>
        <v>2.6235188240037685E-3</v>
      </c>
      <c r="V193" s="33">
        <f t="shared" si="132"/>
        <v>0.26235188240037682</v>
      </c>
      <c r="W193" s="13"/>
      <c r="X193" s="13"/>
      <c r="Y193" s="24">
        <v>0.33</v>
      </c>
      <c r="Z193" s="32">
        <f>Y193-$Y$192</f>
        <v>0.31274537332533592</v>
      </c>
      <c r="AA193" s="24">
        <f>Z193/2</f>
        <v>0.15637268666266796</v>
      </c>
      <c r="AC193" s="13"/>
      <c r="AD193" s="33">
        <f t="shared" ref="AD193:AD206" si="167">AA193/F193</f>
        <v>2.0177381213005061</v>
      </c>
      <c r="AE193" s="13"/>
      <c r="AF193" s="33">
        <f t="shared" ref="AF193:AF206" si="168">AA193/P193</f>
        <v>73.433564267152548</v>
      </c>
      <c r="AG193" s="15"/>
      <c r="AH193" s="15">
        <f>P193*28</f>
        <v>5.9624441088354116E-2</v>
      </c>
      <c r="AO193" s="10" t="s">
        <v>55</v>
      </c>
      <c r="AP193">
        <v>0.76880000000000004</v>
      </c>
      <c r="AR193">
        <v>0.70250000000000001</v>
      </c>
      <c r="AS193">
        <v>0.83499999999999996</v>
      </c>
      <c r="AW193" s="46" t="s">
        <v>57</v>
      </c>
      <c r="AX193" s="13">
        <v>2.785E-2</v>
      </c>
      <c r="AY193" s="13"/>
      <c r="AZ193" s="13">
        <v>2.5780000000000001E-2</v>
      </c>
      <c r="BA193" s="13">
        <v>2.9919999999999999E-2</v>
      </c>
      <c r="BD193">
        <f>AP193/AX193</f>
        <v>27.605026929982049</v>
      </c>
    </row>
    <row r="194" spans="1:56" ht="18" x14ac:dyDescent="0.35">
      <c r="A194" s="24">
        <v>1</v>
      </c>
      <c r="B194" s="27"/>
      <c r="C194" s="24">
        <v>0.76308063978673557</v>
      </c>
      <c r="D194" s="24"/>
      <c r="E194" s="33">
        <f t="shared" ref="E194:E206" si="169">C194-$C$193</f>
        <v>0.76453782072642229</v>
      </c>
      <c r="F194" s="33">
        <f t="shared" ref="F194:F206" si="170">E194+($F$2*9.81)</f>
        <v>0.84203682072642227</v>
      </c>
      <c r="G194" s="22">
        <v>5396.21</v>
      </c>
      <c r="H194" s="22">
        <f t="shared" ref="H194:H206" si="171">G194/1000</f>
        <v>5.39621</v>
      </c>
      <c r="I194" s="22">
        <f t="shared" ref="I194:I196" si="172">H194*$F$5</f>
        <v>128.1599875</v>
      </c>
      <c r="J194" s="33">
        <f t="shared" si="165"/>
        <v>6.5702005528552529E-3</v>
      </c>
      <c r="K194" s="33">
        <f t="shared" si="166"/>
        <v>6.570200552855253</v>
      </c>
      <c r="L194" s="24">
        <v>123404.25</v>
      </c>
      <c r="M194" s="33">
        <f t="shared" ref="M194:M206" si="173">((L194*$F$6)/1000)</f>
        <v>71.327656500000003</v>
      </c>
      <c r="N194" s="33">
        <f t="shared" ref="N194:N205" si="174">M194*($F$5/$F$14)</f>
        <v>204.42681221747034</v>
      </c>
      <c r="O194" s="33">
        <f t="shared" si="135"/>
        <v>3.4684750157842415E-5</v>
      </c>
      <c r="P194" s="33">
        <f t="shared" ref="P194:P206" si="175">2*O194*N194</f>
        <v>1.4180985814654252E-2</v>
      </c>
      <c r="Q194" s="15"/>
      <c r="R194" s="33">
        <f t="shared" si="129"/>
        <v>19128.35634328358</v>
      </c>
      <c r="S194" s="33">
        <f t="shared" si="130"/>
        <v>3.5856564122042384E-6</v>
      </c>
      <c r="T194" s="33">
        <f t="shared" si="148"/>
        <v>0.13717542715444478</v>
      </c>
      <c r="U194" s="33">
        <f t="shared" si="131"/>
        <v>1.068710811053295E-2</v>
      </c>
      <c r="V194" s="33">
        <f t="shared" si="132"/>
        <v>1.068710811053295</v>
      </c>
      <c r="W194" s="13"/>
      <c r="X194" s="13"/>
      <c r="Y194" s="24">
        <v>1.32</v>
      </c>
      <c r="Z194" s="33">
        <f t="shared" ref="Z194:Z206" si="176">Y194-$Y$192</f>
        <v>1.302745373325336</v>
      </c>
      <c r="AA194" s="24">
        <f t="shared" ref="AA194:AA205" si="177">Z194/2</f>
        <v>0.65137268666266801</v>
      </c>
      <c r="AC194" s="13"/>
      <c r="AD194" s="33">
        <f t="shared" si="167"/>
        <v>0.77356793744569396</v>
      </c>
      <c r="AE194" s="13"/>
      <c r="AF194" s="33">
        <f t="shared" si="168"/>
        <v>45.932821256302006</v>
      </c>
      <c r="AG194" s="15"/>
      <c r="AH194" s="15">
        <f t="shared" ref="AH194:AH206" si="178">P194*28</f>
        <v>0.39706760281031905</v>
      </c>
      <c r="AO194" s="10" t="s">
        <v>56</v>
      </c>
      <c r="AP194">
        <v>0.81799999999999995</v>
      </c>
      <c r="AR194">
        <v>0.79359999999999997</v>
      </c>
      <c r="AS194">
        <v>0.84230000000000005</v>
      </c>
      <c r="AW194" s="46" t="s">
        <v>58</v>
      </c>
      <c r="AX194" s="13">
        <v>0.80810000000000004</v>
      </c>
      <c r="AY194" s="13"/>
      <c r="AZ194" s="13">
        <v>0.78710000000000002</v>
      </c>
      <c r="BA194" s="13">
        <v>0.82909999999999995</v>
      </c>
    </row>
    <row r="195" spans="1:56" x14ac:dyDescent="0.25">
      <c r="A195" s="24">
        <v>2</v>
      </c>
      <c r="B195" s="27"/>
      <c r="C195" s="24">
        <v>1.5430289855072523</v>
      </c>
      <c r="D195" s="24"/>
      <c r="E195" s="33">
        <f t="shared" si="169"/>
        <v>1.5444861664469391</v>
      </c>
      <c r="F195" s="33">
        <f t="shared" si="170"/>
        <v>1.6219851664469391</v>
      </c>
      <c r="G195" s="22">
        <v>5398.52</v>
      </c>
      <c r="H195" s="22">
        <f t="shared" si="171"/>
        <v>5.3985200000000004</v>
      </c>
      <c r="I195" s="22">
        <f t="shared" si="172"/>
        <v>128.21485000000001</v>
      </c>
      <c r="J195" s="33">
        <f t="shared" si="165"/>
        <v>1.2650525008974694E-2</v>
      </c>
      <c r="K195" s="33">
        <f t="shared" si="166"/>
        <v>12.650525008974693</v>
      </c>
      <c r="L195" s="24">
        <v>358444.25</v>
      </c>
      <c r="M195" s="33">
        <f t="shared" si="173"/>
        <v>207.18077649999998</v>
      </c>
      <c r="N195" s="33">
        <f t="shared" si="174"/>
        <v>593.78518474997406</v>
      </c>
      <c r="O195" s="33">
        <f t="shared" si="135"/>
        <v>2.8245594346025125E-5</v>
      </c>
      <c r="P195" s="33">
        <f t="shared" si="175"/>
        <v>3.3543630914254705E-2</v>
      </c>
      <c r="Q195" s="15"/>
      <c r="R195" s="33">
        <f t="shared" si="129"/>
        <v>19136.544776119405</v>
      </c>
      <c r="S195" s="33">
        <f t="shared" si="130"/>
        <v>4.9754645176752521E-6</v>
      </c>
      <c r="T195" s="33">
        <f t="shared" si="148"/>
        <v>0.1904263990489716</v>
      </c>
      <c r="U195" s="33">
        <f t="shared" si="131"/>
        <v>3.102886083651641E-2</v>
      </c>
      <c r="V195" s="33">
        <f t="shared" si="132"/>
        <v>3.102886083651641</v>
      </c>
      <c r="W195" s="13"/>
      <c r="X195" s="13"/>
      <c r="Y195" s="24">
        <v>2.34</v>
      </c>
      <c r="Z195" s="33">
        <f t="shared" si="176"/>
        <v>2.3227453733253358</v>
      </c>
      <c r="AA195" s="24">
        <f t="shared" si="177"/>
        <v>1.1613726866626679</v>
      </c>
      <c r="AC195" s="13"/>
      <c r="AD195" s="33">
        <f t="shared" si="167"/>
        <v>0.71601930195621211</v>
      </c>
      <c r="AE195" s="13"/>
      <c r="AF195" s="33">
        <f t="shared" si="168"/>
        <v>34.622748194177476</v>
      </c>
      <c r="AG195" s="15"/>
      <c r="AH195" s="15">
        <f t="shared" si="178"/>
        <v>0.93922166559913167</v>
      </c>
    </row>
    <row r="196" spans="1:56" x14ac:dyDescent="0.25">
      <c r="A196" s="24">
        <v>3</v>
      </c>
      <c r="B196" s="27"/>
      <c r="C196" s="24">
        <v>3.1886014661779409</v>
      </c>
      <c r="D196" s="24"/>
      <c r="E196" s="33">
        <f t="shared" si="169"/>
        <v>3.1900586471176275</v>
      </c>
      <c r="F196" s="33">
        <f t="shared" si="170"/>
        <v>3.2675576471176275</v>
      </c>
      <c r="G196" s="22">
        <v>5410.08</v>
      </c>
      <c r="H196" s="22">
        <f t="shared" si="171"/>
        <v>5.4100799999999998</v>
      </c>
      <c r="I196" s="22">
        <f t="shared" si="172"/>
        <v>128.48939999999999</v>
      </c>
      <c r="J196" s="33">
        <f t="shared" si="165"/>
        <v>2.5430561953885905E-2</v>
      </c>
      <c r="K196" s="33">
        <f t="shared" si="166"/>
        <v>25.430561953885906</v>
      </c>
      <c r="L196" s="24">
        <v>673256.25</v>
      </c>
      <c r="M196" s="33">
        <f t="shared" si="173"/>
        <v>389.1421125</v>
      </c>
      <c r="N196" s="33">
        <f t="shared" si="174"/>
        <v>1115.2908347401994</v>
      </c>
      <c r="O196" s="33">
        <f t="shared" si="135"/>
        <v>2.9252266395555955E-5</v>
      </c>
      <c r="P196" s="33">
        <f t="shared" si="175"/>
        <v>6.5249569212684572E-2</v>
      </c>
      <c r="Q196" s="15"/>
      <c r="R196" s="33">
        <f t="shared" si="129"/>
        <v>19177.5223880597</v>
      </c>
      <c r="S196" s="33">
        <f t="shared" si="130"/>
        <v>7.0543554244277066E-6</v>
      </c>
      <c r="T196" s="33">
        <f t="shared" si="148"/>
        <v>0.27057011817058546</v>
      </c>
      <c r="U196" s="33">
        <f t="shared" si="131"/>
        <v>5.8156148232922998E-2</v>
      </c>
      <c r="V196" s="33">
        <f t="shared" si="132"/>
        <v>5.8156148232923002</v>
      </c>
      <c r="W196" s="13"/>
      <c r="X196" s="13"/>
      <c r="Y196" s="24">
        <v>4.0199999999999996</v>
      </c>
      <c r="Z196" s="33">
        <f t="shared" si="176"/>
        <v>4.0027453733253351</v>
      </c>
      <c r="AA196" s="24">
        <f t="shared" si="177"/>
        <v>2.0013726866626675</v>
      </c>
      <c r="AC196" s="13"/>
      <c r="AD196" s="33">
        <f t="shared" si="167"/>
        <v>0.61249804985938505</v>
      </c>
      <c r="AE196" s="13"/>
      <c r="AF196" s="33">
        <f t="shared" si="168"/>
        <v>30.672580843240251</v>
      </c>
      <c r="AG196" s="15"/>
      <c r="AH196" s="15">
        <f t="shared" si="178"/>
        <v>1.8269879379551681</v>
      </c>
    </row>
    <row r="197" spans="1:56" x14ac:dyDescent="0.25">
      <c r="A197" s="24">
        <v>4</v>
      </c>
      <c r="B197" s="27"/>
      <c r="C197" s="24">
        <v>4.8178827057647213</v>
      </c>
      <c r="D197" s="24"/>
      <c r="E197" s="33">
        <f t="shared" si="169"/>
        <v>4.8193398867044079</v>
      </c>
      <c r="F197" s="33">
        <f t="shared" si="170"/>
        <v>4.8968388867044084</v>
      </c>
      <c r="G197" s="22">
        <v>5451.7</v>
      </c>
      <c r="H197" s="22">
        <f t="shared" si="171"/>
        <v>5.4516999999999998</v>
      </c>
      <c r="I197" s="22">
        <f>H197*$F$5</f>
        <v>129.47787499999998</v>
      </c>
      <c r="J197" s="33">
        <f>F197/I197</f>
        <v>3.7819889202726019E-2</v>
      </c>
      <c r="K197" s="33">
        <f t="shared" si="166"/>
        <v>37.819889202726017</v>
      </c>
      <c r="L197" s="24">
        <v>1033805.25</v>
      </c>
      <c r="M197" s="33">
        <f t="shared" si="173"/>
        <v>597.53943449999997</v>
      </c>
      <c r="N197" s="33">
        <f t="shared" si="174"/>
        <v>1712.562668718338</v>
      </c>
      <c r="O197" s="33">
        <f t="shared" si="135"/>
        <v>2.8898588342345603E-5</v>
      </c>
      <c r="P197" s="33">
        <f t="shared" si="175"/>
        <v>9.8981287147520081E-2</v>
      </c>
      <c r="Q197" s="15"/>
      <c r="R197" s="33">
        <f t="shared" si="129"/>
        <v>19325.055970149253</v>
      </c>
      <c r="S197" s="33">
        <f t="shared" si="130"/>
        <v>8.6027932320999355E-6</v>
      </c>
      <c r="T197" s="33">
        <f t="shared" si="148"/>
        <v>0.33249892141990489</v>
      </c>
      <c r="U197" s="33">
        <f t="shared" si="131"/>
        <v>8.8618768885517049E-2</v>
      </c>
      <c r="V197" s="33">
        <f t="shared" si="132"/>
        <v>8.8618768885517056</v>
      </c>
      <c r="W197" s="13"/>
      <c r="X197" s="13"/>
      <c r="Y197" s="24">
        <v>5.59</v>
      </c>
      <c r="Z197" s="33">
        <f t="shared" si="176"/>
        <v>5.5727453733253354</v>
      </c>
      <c r="AA197" s="24">
        <f t="shared" si="177"/>
        <v>2.7863726866626677</v>
      </c>
      <c r="AC197" s="13"/>
      <c r="AD197" s="33">
        <f t="shared" si="167"/>
        <v>0.56901457269261058</v>
      </c>
      <c r="AE197" s="13"/>
      <c r="AF197" s="33">
        <f t="shared" si="168"/>
        <v>28.150499624337112</v>
      </c>
      <c r="AG197" s="15"/>
      <c r="AH197" s="15">
        <f t="shared" si="178"/>
        <v>2.7714760401305623</v>
      </c>
    </row>
    <row r="198" spans="1:56" x14ac:dyDescent="0.25">
      <c r="A198" s="24">
        <v>5</v>
      </c>
      <c r="B198" s="27"/>
      <c r="C198" s="24">
        <v>6.4781669443519059</v>
      </c>
      <c r="D198" s="24"/>
      <c r="E198" s="33">
        <f t="shared" si="169"/>
        <v>6.4796241252915925</v>
      </c>
      <c r="F198" s="33">
        <f t="shared" si="170"/>
        <v>6.5571231252915929</v>
      </c>
      <c r="G198" s="22">
        <v>5511.04</v>
      </c>
      <c r="H198" s="22">
        <f t="shared" si="171"/>
        <v>5.5110400000000004</v>
      </c>
      <c r="I198" s="22">
        <f t="shared" ref="I198" si="179">H198*$F$5</f>
        <v>130.88720000000001</v>
      </c>
      <c r="J198" s="33">
        <f t="shared" si="165"/>
        <v>5.0097512402218033E-2</v>
      </c>
      <c r="K198" s="33">
        <f t="shared" si="166"/>
        <v>50.097512402218037</v>
      </c>
      <c r="L198" s="24">
        <v>1388099.88</v>
      </c>
      <c r="M198" s="33">
        <f t="shared" si="173"/>
        <v>802.32173063999983</v>
      </c>
      <c r="N198" s="33">
        <f t="shared" si="174"/>
        <v>2299.4737499547468</v>
      </c>
      <c r="O198" s="33">
        <f t="shared" si="135"/>
        <v>2.8859207350455524E-5</v>
      </c>
      <c r="P198" s="33">
        <f t="shared" si="175"/>
        <v>0.13272197949374712</v>
      </c>
      <c r="Q198" s="15"/>
      <c r="R198" s="33">
        <f t="shared" si="129"/>
        <v>19535.402985074626</v>
      </c>
      <c r="S198" s="33">
        <f t="shared" si="130"/>
        <v>9.9011910228581054E-6</v>
      </c>
      <c r="T198" s="33">
        <f t="shared" si="148"/>
        <v>0.38684751332747264</v>
      </c>
      <c r="U198" s="33">
        <f t="shared" si="131"/>
        <v>0.11770802740601681</v>
      </c>
      <c r="V198" s="33">
        <f t="shared" si="132"/>
        <v>11.770802740601681</v>
      </c>
      <c r="W198" s="13"/>
      <c r="X198" s="13"/>
      <c r="Y198" s="24">
        <v>7.51</v>
      </c>
      <c r="Z198" s="33">
        <f t="shared" si="176"/>
        <v>7.4927453733253353</v>
      </c>
      <c r="AA198" s="24">
        <f t="shared" si="177"/>
        <v>3.7463726866626677</v>
      </c>
      <c r="AC198" s="13"/>
      <c r="AD198" s="33">
        <f t="shared" si="167"/>
        <v>0.57134395909274127</v>
      </c>
      <c r="AE198" s="13"/>
      <c r="AF198" s="33">
        <f t="shared" si="168"/>
        <v>28.227221300893643</v>
      </c>
      <c r="AG198" s="15"/>
      <c r="AH198" s="15">
        <f t="shared" si="178"/>
        <v>3.7162154258249194</v>
      </c>
    </row>
    <row r="199" spans="1:56" x14ac:dyDescent="0.25">
      <c r="A199" s="24">
        <v>6</v>
      </c>
      <c r="B199" s="27"/>
      <c r="C199" s="24">
        <v>7.9763278907031552</v>
      </c>
      <c r="D199" s="24"/>
      <c r="E199" s="33">
        <f t="shared" si="169"/>
        <v>7.9777850716428418</v>
      </c>
      <c r="F199" s="33">
        <f t="shared" si="170"/>
        <v>8.0552840716428413</v>
      </c>
      <c r="G199" s="22">
        <v>5563.44</v>
      </c>
      <c r="H199" s="22">
        <f t="shared" si="171"/>
        <v>5.5634399999999999</v>
      </c>
      <c r="I199" s="22">
        <f>H199*$F$5</f>
        <v>132.1317</v>
      </c>
      <c r="J199" s="33">
        <f t="shared" si="165"/>
        <v>6.0964053831463923E-2</v>
      </c>
      <c r="K199" s="33">
        <f t="shared" si="166"/>
        <v>60.964053831463922</v>
      </c>
      <c r="L199" s="24">
        <v>1637929.25</v>
      </c>
      <c r="M199" s="33">
        <f t="shared" si="173"/>
        <v>946.72310649999986</v>
      </c>
      <c r="N199" s="33">
        <f t="shared" si="174"/>
        <v>2713.3316333534053</v>
      </c>
      <c r="O199" s="33">
        <f t="shared" si="135"/>
        <v>2.9446314656714864E-5</v>
      </c>
      <c r="P199" s="33">
        <f t="shared" si="175"/>
        <v>0.15979523408748492</v>
      </c>
      <c r="Q199" s="15"/>
      <c r="R199" s="33">
        <f t="shared" si="129"/>
        <v>19721.149253731342</v>
      </c>
      <c r="S199" s="33">
        <f t="shared" si="130"/>
        <v>1.0922354740562984E-5</v>
      </c>
      <c r="T199" s="33">
        <f t="shared" si="148"/>
        <v>0.43080277608168538</v>
      </c>
      <c r="U199" s="33">
        <f t="shared" si="131"/>
        <v>0.13758486376446996</v>
      </c>
      <c r="V199" s="33">
        <f t="shared" si="132"/>
        <v>13.758486376446996</v>
      </c>
      <c r="W199" s="13"/>
      <c r="X199" s="13"/>
      <c r="Y199" s="24">
        <v>9.14</v>
      </c>
      <c r="Z199" s="33">
        <f t="shared" si="176"/>
        <v>9.122745373325337</v>
      </c>
      <c r="AA199" s="24">
        <f t="shared" si="177"/>
        <v>4.5613726866626685</v>
      </c>
      <c r="AC199" s="13"/>
      <c r="AD199" s="33">
        <f t="shared" si="167"/>
        <v>0.56625845173110023</v>
      </c>
      <c r="AE199" s="13"/>
      <c r="AF199" s="33">
        <f t="shared" si="168"/>
        <v>28.545110952216522</v>
      </c>
      <c r="AG199" s="15"/>
      <c r="AH199" s="15">
        <f t="shared" si="178"/>
        <v>4.4742665544495779</v>
      </c>
    </row>
    <row r="200" spans="1:56" x14ac:dyDescent="0.25">
      <c r="A200" s="24">
        <v>7</v>
      </c>
      <c r="B200" s="27"/>
      <c r="C200" s="24">
        <v>12.082963678773726</v>
      </c>
      <c r="D200" s="24"/>
      <c r="E200" s="33">
        <f t="shared" si="169"/>
        <v>12.084420859713413</v>
      </c>
      <c r="F200" s="33">
        <f t="shared" si="170"/>
        <v>12.161919859713413</v>
      </c>
      <c r="G200" s="22">
        <v>5619.7</v>
      </c>
      <c r="H200" s="22">
        <f t="shared" si="171"/>
        <v>5.6196999999999999</v>
      </c>
      <c r="I200" s="22">
        <f t="shared" ref="I200:I205" si="180">H200*$F$5</f>
        <v>133.46787499999999</v>
      </c>
      <c r="J200" s="33">
        <f t="shared" si="165"/>
        <v>9.1122450699941196E-2</v>
      </c>
      <c r="K200" s="33">
        <f t="shared" si="166"/>
        <v>91.122450699941197</v>
      </c>
      <c r="L200" s="24">
        <v>1954206.89</v>
      </c>
      <c r="M200" s="33">
        <f t="shared" si="173"/>
        <v>1129.5315824199999</v>
      </c>
      <c r="N200" s="33">
        <f t="shared" si="174"/>
        <v>3237.2652071230664</v>
      </c>
      <c r="O200" s="33">
        <f t="shared" si="135"/>
        <v>3.3124847393948227E-5</v>
      </c>
      <c r="P200" s="33">
        <f t="shared" si="175"/>
        <v>0.21446783191937954</v>
      </c>
      <c r="Q200" s="15"/>
      <c r="R200" s="33">
        <f t="shared" si="129"/>
        <v>19920.578358208953</v>
      </c>
      <c r="S200" s="33">
        <f t="shared" si="130"/>
        <v>1.3353406023869478E-5</v>
      </c>
      <c r="T200" s="33">
        <f t="shared" si="148"/>
        <v>0.53201514209494283</v>
      </c>
      <c r="U200" s="33">
        <f t="shared" si="131"/>
        <v>0.16250859532846049</v>
      </c>
      <c r="V200" s="33">
        <f t="shared" si="132"/>
        <v>16.25085953284605</v>
      </c>
      <c r="W200" s="13"/>
      <c r="X200" s="13"/>
      <c r="Y200" s="24">
        <v>12.23</v>
      </c>
      <c r="Z200" s="33">
        <f t="shared" si="176"/>
        <v>12.212745373325337</v>
      </c>
      <c r="AA200" s="24">
        <f t="shared" si="177"/>
        <v>6.1063726866626684</v>
      </c>
      <c r="AC200" s="13"/>
      <c r="AD200" s="33">
        <f t="shared" si="167"/>
        <v>0.50208953496644415</v>
      </c>
      <c r="AE200" s="13"/>
      <c r="AF200" s="33">
        <f t="shared" si="168"/>
        <v>28.472207845874578</v>
      </c>
      <c r="AG200" s="15"/>
      <c r="AH200" s="15">
        <f t="shared" si="178"/>
        <v>6.0050992937426271</v>
      </c>
    </row>
    <row r="201" spans="1:56" x14ac:dyDescent="0.25">
      <c r="A201" s="24">
        <v>8</v>
      </c>
      <c r="B201" s="27"/>
      <c r="C201" s="24">
        <v>18.12039486837719</v>
      </c>
      <c r="D201" s="24"/>
      <c r="E201" s="33">
        <f t="shared" si="169"/>
        <v>18.121852049316878</v>
      </c>
      <c r="F201" s="33">
        <f t="shared" si="170"/>
        <v>18.199351049316878</v>
      </c>
      <c r="G201" s="22">
        <v>5672.88</v>
      </c>
      <c r="H201" s="22">
        <f t="shared" si="171"/>
        <v>5.6728800000000001</v>
      </c>
      <c r="I201" s="22">
        <f t="shared" si="180"/>
        <v>134.73089999999999</v>
      </c>
      <c r="J201" s="33">
        <f t="shared" si="165"/>
        <v>0.13507926577583076</v>
      </c>
      <c r="K201" s="33">
        <f t="shared" si="166"/>
        <v>135.07926577583078</v>
      </c>
      <c r="L201" s="24">
        <v>2381605.52</v>
      </c>
      <c r="M201" s="33">
        <f t="shared" si="173"/>
        <v>1376.5679905599998</v>
      </c>
      <c r="N201" s="33">
        <f t="shared" si="174"/>
        <v>3945.2776092649215</v>
      </c>
      <c r="O201" s="33">
        <f t="shared" si="135"/>
        <v>3.6705498325713222E-5</v>
      </c>
      <c r="P201" s="33">
        <f t="shared" si="175"/>
        <v>0.28962676136269488</v>
      </c>
      <c r="Q201" s="15"/>
      <c r="R201" s="33">
        <f t="shared" si="129"/>
        <v>20109.089552238805</v>
      </c>
      <c r="S201" s="33">
        <f t="shared" si="130"/>
        <v>1.6258246519133411E-5</v>
      </c>
      <c r="T201" s="33">
        <f t="shared" si="148"/>
        <v>0.6538770704312572</v>
      </c>
      <c r="U201" s="33">
        <f t="shared" si="131"/>
        <v>0.19619374606771703</v>
      </c>
      <c r="V201" s="33">
        <f t="shared" si="132"/>
        <v>19.619374606771704</v>
      </c>
      <c r="W201" s="13"/>
      <c r="X201" s="13"/>
      <c r="Y201" s="24">
        <v>16.16</v>
      </c>
      <c r="Z201" s="33">
        <f t="shared" si="176"/>
        <v>16.142745373325337</v>
      </c>
      <c r="AA201" s="24">
        <f t="shared" si="177"/>
        <v>8.0713726866626683</v>
      </c>
      <c r="AC201" s="13"/>
      <c r="AD201" s="33">
        <f t="shared" si="167"/>
        <v>0.44349782938912163</v>
      </c>
      <c r="AE201" s="13"/>
      <c r="AF201" s="33">
        <f t="shared" si="168"/>
        <v>27.868186795608363</v>
      </c>
      <c r="AG201" s="15"/>
      <c r="AH201" s="15">
        <f t="shared" si="178"/>
        <v>8.109549318155457</v>
      </c>
    </row>
    <row r="202" spans="1:56" x14ac:dyDescent="0.25">
      <c r="A202" s="24">
        <v>9</v>
      </c>
      <c r="B202" s="27"/>
      <c r="C202" s="24">
        <v>24.056862712429343</v>
      </c>
      <c r="D202" s="24"/>
      <c r="E202" s="33">
        <f t="shared" si="169"/>
        <v>24.058319893369031</v>
      </c>
      <c r="F202" s="33">
        <f t="shared" si="170"/>
        <v>24.135818893369031</v>
      </c>
      <c r="G202" s="22">
        <v>5737.61</v>
      </c>
      <c r="H202" s="22">
        <f t="shared" si="171"/>
        <v>5.7376100000000001</v>
      </c>
      <c r="I202" s="22">
        <f t="shared" si="180"/>
        <v>136.2682375</v>
      </c>
      <c r="J202" s="33">
        <f t="shared" si="165"/>
        <v>0.17711991683585862</v>
      </c>
      <c r="K202" s="33">
        <f t="shared" si="166"/>
        <v>177.11991683585862</v>
      </c>
      <c r="L202" s="24">
        <v>2823368.78</v>
      </c>
      <c r="M202" s="33">
        <f t="shared" si="173"/>
        <v>1631.9071548399997</v>
      </c>
      <c r="N202" s="33">
        <f t="shared" si="174"/>
        <v>4677.0859140566736</v>
      </c>
      <c r="O202" s="33">
        <f t="shared" si="135"/>
        <v>3.8822661271463282E-5</v>
      </c>
      <c r="P202" s="33">
        <f t="shared" si="175"/>
        <v>0.36315384435790893</v>
      </c>
      <c r="Q202" s="15"/>
      <c r="R202" s="33">
        <f t="shared" si="129"/>
        <v>20338.542910447759</v>
      </c>
      <c r="S202" s="33">
        <f t="shared" si="130"/>
        <v>1.8617144022829414E-5</v>
      </c>
      <c r="T202" s="33">
        <f t="shared" si="148"/>
        <v>0.75729116515660411</v>
      </c>
      <c r="U202" s="33">
        <f t="shared" si="131"/>
        <v>0.2299617005333302</v>
      </c>
      <c r="V202" s="33">
        <f t="shared" si="132"/>
        <v>22.996170053333021</v>
      </c>
      <c r="W202" s="13"/>
      <c r="X202" s="13"/>
      <c r="Y202" s="24">
        <v>20.36</v>
      </c>
      <c r="Z202" s="33">
        <f t="shared" si="176"/>
        <v>20.342745373325336</v>
      </c>
      <c r="AA202" s="24">
        <f t="shared" si="177"/>
        <v>10.171372686662668</v>
      </c>
      <c r="AC202" s="13"/>
      <c r="AD202" s="33">
        <f t="shared" si="167"/>
        <v>0.42142231558826893</v>
      </c>
      <c r="AE202" s="13"/>
      <c r="AF202" s="33">
        <f t="shared" si="168"/>
        <v>28.008440072131517</v>
      </c>
      <c r="AG202" s="15"/>
      <c r="AH202" s="15">
        <f t="shared" si="178"/>
        <v>10.16830764202145</v>
      </c>
    </row>
    <row r="203" spans="1:56" x14ac:dyDescent="0.25">
      <c r="A203" s="24">
        <v>10</v>
      </c>
      <c r="B203" s="27"/>
      <c r="C203" s="24">
        <v>29.835013995334648</v>
      </c>
      <c r="D203" s="24"/>
      <c r="E203" s="33">
        <f t="shared" si="169"/>
        <v>29.836471176274337</v>
      </c>
      <c r="F203" s="33">
        <f t="shared" si="170"/>
        <v>29.913970176274336</v>
      </c>
      <c r="G203" s="22">
        <v>5811.6</v>
      </c>
      <c r="H203" s="22">
        <f t="shared" si="171"/>
        <v>5.8116000000000003</v>
      </c>
      <c r="I203" s="22">
        <f t="shared" si="180"/>
        <v>138.02549999999999</v>
      </c>
      <c r="J203" s="33">
        <f t="shared" si="165"/>
        <v>0.21672785229015173</v>
      </c>
      <c r="K203" s="33">
        <f t="shared" si="166"/>
        <v>216.72785229015173</v>
      </c>
      <c r="L203" s="24">
        <v>3205333.0399999996</v>
      </c>
      <c r="M203" s="33">
        <f t="shared" si="173"/>
        <v>1852.6824971199997</v>
      </c>
      <c r="N203" s="33">
        <f t="shared" si="174"/>
        <v>5309.833457620246</v>
      </c>
      <c r="O203" s="33">
        <f t="shared" si="135"/>
        <v>4.0563790929038576E-5</v>
      </c>
      <c r="P203" s="33">
        <f t="shared" si="175"/>
        <v>0.43077394848584333</v>
      </c>
      <c r="Q203" s="15"/>
      <c r="R203" s="33">
        <f t="shared" si="129"/>
        <v>20600.820895522389</v>
      </c>
      <c r="S203" s="33">
        <f t="shared" si="130"/>
        <v>2.0593810982455646E-5</v>
      </c>
      <c r="T203" s="33">
        <f t="shared" si="148"/>
        <v>0.84849882321162151</v>
      </c>
      <c r="U203" s="33">
        <f t="shared" si="131"/>
        <v>0.25774863460777642</v>
      </c>
      <c r="V203" s="33">
        <f t="shared" si="132"/>
        <v>25.774863460777642</v>
      </c>
      <c r="W203" s="13"/>
      <c r="X203" s="13"/>
      <c r="Y203" s="24">
        <v>24.27</v>
      </c>
      <c r="Z203" s="33">
        <f t="shared" si="176"/>
        <v>24.252745373325336</v>
      </c>
      <c r="AA203" s="24">
        <f t="shared" si="177"/>
        <v>12.126372686662668</v>
      </c>
      <c r="AC203" s="13"/>
      <c r="AD203" s="33">
        <f t="shared" si="167"/>
        <v>0.40537490059679393</v>
      </c>
      <c r="AE203" s="13"/>
      <c r="AF203" s="33">
        <f t="shared" si="168"/>
        <v>28.150199726066258</v>
      </c>
      <c r="AG203" s="15"/>
      <c r="AH203" s="15">
        <f t="shared" si="178"/>
        <v>12.061670557603613</v>
      </c>
    </row>
    <row r="204" spans="1:56" x14ac:dyDescent="0.25">
      <c r="A204" s="24">
        <v>11</v>
      </c>
      <c r="B204" s="27"/>
      <c r="C204" s="24">
        <v>36.359744418527697</v>
      </c>
      <c r="D204" s="24"/>
      <c r="E204" s="33">
        <f t="shared" si="169"/>
        <v>36.361201599467385</v>
      </c>
      <c r="F204" s="33">
        <f t="shared" si="170"/>
        <v>36.438700599467388</v>
      </c>
      <c r="G204" s="22">
        <v>5896.37</v>
      </c>
      <c r="H204" s="22">
        <f t="shared" si="171"/>
        <v>5.8963700000000001</v>
      </c>
      <c r="I204" s="22">
        <f t="shared" si="180"/>
        <v>140.03878750000001</v>
      </c>
      <c r="J204" s="33">
        <f t="shared" si="165"/>
        <v>0.26020434231099998</v>
      </c>
      <c r="K204" s="33">
        <f t="shared" si="166"/>
        <v>260.204342311</v>
      </c>
      <c r="L204" s="24">
        <v>3678677.5299999993</v>
      </c>
      <c r="M204" s="33">
        <f t="shared" si="173"/>
        <v>2126.2756123399995</v>
      </c>
      <c r="N204" s="33">
        <f t="shared" si="174"/>
        <v>6093.9580333249251</v>
      </c>
      <c r="O204" s="33">
        <f t="shared" si="135"/>
        <v>4.1790124849612871E-5</v>
      </c>
      <c r="P204" s="33">
        <f t="shared" si="175"/>
        <v>0.50933453408189988</v>
      </c>
      <c r="Q204" s="15"/>
      <c r="R204" s="33">
        <f t="shared" si="129"/>
        <v>20901.311567164179</v>
      </c>
      <c r="S204" s="33">
        <f t="shared" si="130"/>
        <v>2.2565067063502085E-5</v>
      </c>
      <c r="T204" s="33">
        <f t="shared" si="148"/>
        <v>0.94327899445642316</v>
      </c>
      <c r="U204" s="33">
        <f t="shared" si="131"/>
        <v>0.29155864280299482</v>
      </c>
      <c r="V204" s="33">
        <f t="shared" si="132"/>
        <v>29.155864280299483</v>
      </c>
      <c r="W204" s="13"/>
      <c r="X204" s="13"/>
      <c r="Y204" s="24">
        <v>28.83</v>
      </c>
      <c r="Z204" s="33">
        <f t="shared" si="176"/>
        <v>28.812745373325335</v>
      </c>
      <c r="AA204" s="24">
        <f t="shared" si="177"/>
        <v>14.406372686662667</v>
      </c>
      <c r="AC204" s="13"/>
      <c r="AD204" s="33">
        <f t="shared" si="167"/>
        <v>0.39535912229738623</v>
      </c>
      <c r="AE204" s="13"/>
      <c r="AF204" s="33">
        <f t="shared" si="168"/>
        <v>28.284696447357238</v>
      </c>
      <c r="AG204" s="15"/>
      <c r="AH204" s="15">
        <f t="shared" si="178"/>
        <v>14.261366954293196</v>
      </c>
    </row>
    <row r="205" spans="1:56" x14ac:dyDescent="0.25">
      <c r="A205" s="24">
        <v>12</v>
      </c>
      <c r="B205" s="27"/>
      <c r="C205" s="33">
        <v>42.194376541152899</v>
      </c>
      <c r="D205" s="33"/>
      <c r="E205" s="33">
        <f t="shared" si="169"/>
        <v>42.195833722092587</v>
      </c>
      <c r="F205" s="33">
        <f t="shared" si="170"/>
        <v>42.27333272209259</v>
      </c>
      <c r="G205" s="22">
        <v>5963.42</v>
      </c>
      <c r="H205" s="22">
        <f t="shared" si="171"/>
        <v>5.9634200000000002</v>
      </c>
      <c r="I205" s="22">
        <f t="shared" si="180"/>
        <v>141.631225</v>
      </c>
      <c r="J205" s="33">
        <f t="shared" si="165"/>
        <v>0.29847466702411557</v>
      </c>
      <c r="K205" s="33">
        <f t="shared" si="166"/>
        <v>298.47466702411555</v>
      </c>
      <c r="L205" s="24">
        <v>3994077.7699999996</v>
      </c>
      <c r="M205" s="33">
        <f t="shared" si="173"/>
        <v>2308.5769510599994</v>
      </c>
      <c r="N205" s="33">
        <f t="shared" si="174"/>
        <v>6616.4381394462707</v>
      </c>
      <c r="O205" s="33">
        <f t="shared" si="135"/>
        <v>4.319794359415042E-5</v>
      </c>
      <c r="P205" s="33">
        <f t="shared" si="175"/>
        <v>0.57163304308397112</v>
      </c>
      <c r="Q205" s="15"/>
      <c r="R205" s="33">
        <f t="shared" si="129"/>
        <v>21138.988805970148</v>
      </c>
      <c r="S205" s="33">
        <f t="shared" si="130"/>
        <v>2.4167576214827718E-5</v>
      </c>
      <c r="T205" s="33">
        <f t="shared" si="148"/>
        <v>1.0217562461453471</v>
      </c>
      <c r="U205" s="33">
        <f t="shared" si="131"/>
        <v>0.31299690823326576</v>
      </c>
      <c r="V205" s="33">
        <f t="shared" si="132"/>
        <v>31.299690823326575</v>
      </c>
      <c r="W205" s="13"/>
      <c r="X205" s="13"/>
      <c r="Y205" s="24">
        <v>33.26</v>
      </c>
      <c r="Z205" s="33">
        <f t="shared" si="176"/>
        <v>33.242745373325334</v>
      </c>
      <c r="AA205" s="24">
        <f t="shared" si="177"/>
        <v>16.621372686662667</v>
      </c>
      <c r="AC205" s="13"/>
      <c r="AD205" s="33">
        <f t="shared" si="167"/>
        <v>0.39318813105965794</v>
      </c>
      <c r="AE205" s="13"/>
      <c r="AF205" s="33">
        <f t="shared" si="168"/>
        <v>29.076997713410769</v>
      </c>
      <c r="AG205" s="15"/>
      <c r="AH205" s="15">
        <f t="shared" si="178"/>
        <v>16.00572520635119</v>
      </c>
    </row>
    <row r="206" spans="1:56" x14ac:dyDescent="0.25">
      <c r="A206" s="25">
        <v>13</v>
      </c>
      <c r="B206" s="28"/>
      <c r="C206" s="25">
        <v>47.827092635788581</v>
      </c>
      <c r="D206" s="25"/>
      <c r="E206" s="25">
        <f t="shared" si="169"/>
        <v>47.82854981672827</v>
      </c>
      <c r="F206" s="25">
        <f t="shared" si="170"/>
        <v>47.906048816728273</v>
      </c>
      <c r="G206" s="23">
        <v>6036.63</v>
      </c>
      <c r="H206" s="23">
        <f t="shared" si="171"/>
        <v>6.0366299999999997</v>
      </c>
      <c r="I206" s="23">
        <f>H206*$F$5</f>
        <v>143.36996249999999</v>
      </c>
      <c r="J206" s="25">
        <f t="shared" si="165"/>
        <v>0.33414285657449533</v>
      </c>
      <c r="K206" s="25">
        <f t="shared" si="166"/>
        <v>334.14285657449534</v>
      </c>
      <c r="L206" s="25">
        <v>4381577.2999999989</v>
      </c>
      <c r="M206" s="25">
        <f t="shared" si="173"/>
        <v>2532.5516793999991</v>
      </c>
      <c r="N206" s="25">
        <f>M206*($F$5/$F$14)</f>
        <v>7258.3552018948321</v>
      </c>
      <c r="O206" s="25">
        <f t="shared" si="135"/>
        <v>4.3905408775621182E-5</v>
      </c>
      <c r="P206" s="25">
        <f t="shared" si="175"/>
        <v>0.63736210435569807</v>
      </c>
      <c r="Q206" s="15"/>
      <c r="R206" s="25">
        <f t="shared" si="129"/>
        <v>21398.501865671642</v>
      </c>
      <c r="S206" s="25">
        <f t="shared" si="130"/>
        <v>2.5570866754603526E-5</v>
      </c>
      <c r="T206" s="25">
        <f t="shared" si="148"/>
        <v>1.094356479910449</v>
      </c>
      <c r="U206" s="25">
        <f t="shared" si="131"/>
        <v>0.33919922279881587</v>
      </c>
      <c r="V206" s="33">
        <f t="shared" si="132"/>
        <v>33.91992227988159</v>
      </c>
      <c r="W206" s="13"/>
      <c r="X206" s="13"/>
      <c r="Y206" s="25">
        <v>36.81</v>
      </c>
      <c r="Z206" s="25">
        <f t="shared" si="176"/>
        <v>36.792745373325339</v>
      </c>
      <c r="AA206" s="25">
        <f>Z206/2</f>
        <v>18.396372686662669</v>
      </c>
      <c r="AB206" s="15"/>
      <c r="AC206" s="13"/>
      <c r="AD206" s="25">
        <f t="shared" si="167"/>
        <v>0.38400939215506447</v>
      </c>
      <c r="AE206" s="2"/>
      <c r="AF206" s="25">
        <f t="shared" si="168"/>
        <v>28.86329852519134</v>
      </c>
      <c r="AG206" s="2"/>
      <c r="AH206" s="2">
        <f t="shared" si="178"/>
        <v>17.846138921959547</v>
      </c>
      <c r="AO206" s="2"/>
      <c r="AP206" s="2"/>
      <c r="AQ206" s="2"/>
      <c r="AR206" s="2"/>
      <c r="AS206" s="2"/>
      <c r="AW206" s="2"/>
      <c r="AX206" s="2"/>
      <c r="AY206" s="2"/>
      <c r="AZ206" s="2"/>
      <c r="BA206" s="2"/>
    </row>
    <row r="207" spans="1:56" x14ac:dyDescent="0.25">
      <c r="A207" s="9"/>
      <c r="E207" s="9"/>
      <c r="F207" s="9"/>
      <c r="H207" s="9"/>
      <c r="I207" s="9"/>
      <c r="J207" s="9"/>
      <c r="L207" s="3"/>
      <c r="M207" s="9"/>
      <c r="N207" s="9"/>
      <c r="O207" s="9"/>
      <c r="P207" s="9"/>
      <c r="Q207" s="15"/>
      <c r="R207" s="15"/>
      <c r="S207" s="15"/>
      <c r="AF207" s="15"/>
      <c r="AG207" s="15"/>
      <c r="AH207" s="15"/>
    </row>
    <row r="208" spans="1:56" x14ac:dyDescent="0.25">
      <c r="A208" s="9"/>
      <c r="E208" s="9"/>
      <c r="F208" s="9"/>
      <c r="H208" s="9"/>
      <c r="I208" s="9"/>
      <c r="J208" s="9"/>
      <c r="L208" s="3"/>
      <c r="M208" s="9"/>
      <c r="N208" s="9"/>
      <c r="O208" s="9"/>
      <c r="P208" s="9"/>
      <c r="Q208" s="15"/>
      <c r="R208" s="15"/>
      <c r="S208" s="15"/>
      <c r="AF208" s="15"/>
      <c r="AG208" s="15"/>
      <c r="AH208" s="15"/>
    </row>
    <row r="209" spans="1:34" x14ac:dyDescent="0.25">
      <c r="A209" s="9"/>
      <c r="C209" s="9"/>
      <c r="E209" s="9"/>
      <c r="F209" s="9"/>
      <c r="H209" s="9"/>
      <c r="I209" s="9"/>
      <c r="J209" s="9"/>
      <c r="L209" s="3"/>
      <c r="M209" s="9"/>
      <c r="N209" s="9"/>
      <c r="O209" s="9"/>
      <c r="P209" s="9"/>
      <c r="Q209" s="15"/>
      <c r="R209" s="15"/>
      <c r="S209" s="15"/>
      <c r="AF209" s="15"/>
      <c r="AG209" s="15"/>
      <c r="AH209" s="15"/>
    </row>
    <row r="210" spans="1:34" x14ac:dyDescent="0.25">
      <c r="A210" s="9"/>
      <c r="C210" s="9"/>
      <c r="E210" s="9"/>
      <c r="F210" s="9"/>
      <c r="H210" s="9"/>
      <c r="I210" s="9"/>
      <c r="J210" s="9"/>
      <c r="L210" s="3"/>
      <c r="M210" s="9"/>
      <c r="N210" s="9"/>
      <c r="O210" s="9"/>
      <c r="P210" s="9"/>
      <c r="Q210" s="15"/>
      <c r="R210" s="15"/>
      <c r="S210" s="15"/>
      <c r="AF210" s="15"/>
      <c r="AG210" s="15"/>
      <c r="AH210" s="15"/>
    </row>
    <row r="211" spans="1:34" x14ac:dyDescent="0.25">
      <c r="A211" s="9"/>
      <c r="E211" s="9"/>
      <c r="F211" s="9"/>
      <c r="H211" s="9"/>
      <c r="I211" s="9"/>
      <c r="J211" s="9"/>
      <c r="L211" s="3"/>
      <c r="M211" s="9"/>
      <c r="N211" s="9"/>
      <c r="O211" s="9"/>
      <c r="P211" s="9"/>
      <c r="Q211" s="15"/>
      <c r="R211" s="15"/>
      <c r="S211" s="15"/>
      <c r="AF211" s="15"/>
      <c r="AG211" s="15"/>
      <c r="AH211" s="15"/>
    </row>
    <row r="212" spans="1:34" x14ac:dyDescent="0.25">
      <c r="A212" s="9"/>
      <c r="E212" s="9"/>
      <c r="F212" s="9"/>
      <c r="H212" s="9"/>
      <c r="I212" s="9"/>
      <c r="J212" s="9"/>
      <c r="L212" s="3"/>
      <c r="M212" s="9"/>
      <c r="N212" s="9"/>
      <c r="O212" s="9"/>
      <c r="P212" s="9"/>
      <c r="Q212" s="15"/>
      <c r="R212" s="15"/>
      <c r="S212" s="15"/>
      <c r="AF212" s="15"/>
      <c r="AG212" s="15"/>
      <c r="AH212" s="15"/>
    </row>
    <row r="213" spans="1:34" x14ac:dyDescent="0.25">
      <c r="A213" s="9"/>
      <c r="E213" s="9"/>
      <c r="F213" s="9"/>
      <c r="H213" s="9"/>
      <c r="I213" s="9"/>
      <c r="J213" s="9"/>
      <c r="L213" s="3"/>
      <c r="M213" s="9"/>
      <c r="N213" s="9"/>
      <c r="O213" s="9"/>
      <c r="P213" s="9"/>
      <c r="Q213" s="15"/>
      <c r="R213" s="15"/>
      <c r="S213" s="15"/>
      <c r="AF213" s="15"/>
      <c r="AG213" s="15"/>
      <c r="AH213" s="15"/>
    </row>
    <row r="214" spans="1:34" x14ac:dyDescent="0.25">
      <c r="A214" s="9"/>
      <c r="E214" s="9"/>
      <c r="F214" s="9"/>
      <c r="H214" s="9"/>
      <c r="I214" s="9"/>
      <c r="J214" s="9"/>
      <c r="L214" s="3"/>
      <c r="M214" s="9"/>
      <c r="N214" s="9"/>
      <c r="O214" s="9"/>
      <c r="P214" s="9"/>
      <c r="Q214" s="15"/>
      <c r="R214" s="15"/>
      <c r="S214" s="15"/>
      <c r="AF214" s="15"/>
      <c r="AG214" s="15"/>
      <c r="AH214" s="15"/>
    </row>
    <row r="215" spans="1:34" x14ac:dyDescent="0.25">
      <c r="A215" s="9"/>
      <c r="E215" s="9"/>
      <c r="F215" s="9"/>
      <c r="H215" s="9"/>
      <c r="I215" s="9"/>
      <c r="J215" s="9"/>
      <c r="L215" s="3"/>
      <c r="M215" s="9"/>
      <c r="N215" s="9"/>
      <c r="O215" s="9"/>
      <c r="P215" s="9"/>
      <c r="Q215" s="15"/>
      <c r="R215" s="15"/>
      <c r="S215" s="15"/>
      <c r="AF215" s="15"/>
      <c r="AG215" s="15"/>
      <c r="AH215" s="15"/>
    </row>
    <row r="216" spans="1:34" x14ac:dyDescent="0.25">
      <c r="A216" s="9"/>
      <c r="E216" s="9"/>
      <c r="F216" s="9"/>
      <c r="H216" s="9"/>
      <c r="I216" s="9"/>
      <c r="J216" s="9"/>
      <c r="L216" s="3"/>
      <c r="M216" s="9"/>
      <c r="N216" s="9"/>
      <c r="O216" s="9"/>
      <c r="P216" s="9"/>
      <c r="Q216" s="15"/>
      <c r="R216" s="15"/>
      <c r="S216" s="15"/>
      <c r="AF216" s="15"/>
      <c r="AG216" s="15"/>
      <c r="AH216" s="15"/>
    </row>
    <row r="217" spans="1:34" x14ac:dyDescent="0.25">
      <c r="A217" s="9"/>
      <c r="E217" s="9"/>
      <c r="F217" s="9"/>
      <c r="H217" s="9"/>
      <c r="I217" s="9"/>
      <c r="J217" s="9"/>
      <c r="K217" s="15"/>
      <c r="L217" s="29"/>
      <c r="M217" s="15"/>
      <c r="N217" s="9"/>
      <c r="O217" s="9"/>
      <c r="P217" s="9"/>
      <c r="Q217" s="15"/>
      <c r="R217" s="15"/>
      <c r="S217" s="15"/>
      <c r="AF217" s="15"/>
      <c r="AG217" s="15"/>
      <c r="AH217" s="15"/>
    </row>
    <row r="218" spans="1:34" x14ac:dyDescent="0.25">
      <c r="K218" s="15"/>
      <c r="L218" s="15"/>
      <c r="M218" s="15"/>
      <c r="N218" s="9"/>
      <c r="O218" s="13"/>
      <c r="P218" s="13"/>
      <c r="Q218" s="15"/>
      <c r="R218" s="15"/>
      <c r="S218" s="15"/>
      <c r="AF218" s="15"/>
      <c r="AG218" s="15"/>
      <c r="AH218" s="15"/>
    </row>
    <row r="219" spans="1:34" x14ac:dyDescent="0.25">
      <c r="A219" s="9"/>
      <c r="K219" s="15"/>
      <c r="L219" s="15"/>
      <c r="M219" s="15"/>
      <c r="N219" s="9"/>
      <c r="O219" s="13"/>
      <c r="P219" s="13"/>
      <c r="Q219" s="15"/>
      <c r="R219" s="15"/>
      <c r="S219" s="15"/>
      <c r="AF219" s="15"/>
      <c r="AG219" s="15"/>
      <c r="AH219" s="15"/>
    </row>
    <row r="220" spans="1:34" x14ac:dyDescent="0.25">
      <c r="A220" s="10"/>
      <c r="K220" s="15"/>
      <c r="L220" s="15"/>
      <c r="M220" s="15"/>
      <c r="N220" s="9"/>
      <c r="O220" s="13"/>
      <c r="P220" s="13"/>
      <c r="Q220" s="15"/>
      <c r="R220" s="15"/>
      <c r="S220" s="15"/>
      <c r="AF220" s="15"/>
      <c r="AG220" s="15"/>
      <c r="AH220" s="15"/>
    </row>
    <row r="221" spans="1:34" x14ac:dyDescent="0.25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26"/>
      <c r="L221" s="26"/>
      <c r="M221" s="26"/>
      <c r="N221" s="10"/>
      <c r="O221" s="10"/>
      <c r="P221" s="10"/>
      <c r="Q221" s="26"/>
      <c r="R221" s="15"/>
      <c r="S221" s="15"/>
      <c r="AF221" s="15"/>
      <c r="AG221" s="15"/>
      <c r="AH221" s="15"/>
    </row>
    <row r="222" spans="1:34" x14ac:dyDescent="0.25">
      <c r="A222" s="9"/>
      <c r="K222" s="15"/>
      <c r="L222" s="15"/>
      <c r="M222" s="15"/>
      <c r="N222" s="9"/>
      <c r="O222" s="13"/>
      <c r="P222" s="13"/>
      <c r="Q222" s="15"/>
      <c r="R222" s="15"/>
      <c r="S222" s="15"/>
      <c r="AF222" s="15"/>
      <c r="AG222" s="15"/>
      <c r="AH222" s="15"/>
    </row>
    <row r="223" spans="1:34" x14ac:dyDescent="0.25">
      <c r="A223" s="9"/>
      <c r="E223" s="9"/>
      <c r="F223" s="9"/>
      <c r="H223" s="9"/>
      <c r="I223" s="9"/>
      <c r="J223" s="9"/>
      <c r="K223" s="15"/>
      <c r="L223" s="15"/>
      <c r="M223" s="15"/>
      <c r="N223" s="9"/>
      <c r="O223" s="13"/>
      <c r="P223" s="13"/>
      <c r="Q223" s="15"/>
      <c r="R223" s="15"/>
      <c r="S223" s="15"/>
      <c r="AF223" s="15"/>
      <c r="AG223" s="15"/>
      <c r="AH223" s="15"/>
    </row>
    <row r="224" spans="1:34" x14ac:dyDescent="0.25">
      <c r="A224" s="9"/>
      <c r="E224" s="9"/>
      <c r="F224" s="9"/>
      <c r="H224" s="9"/>
      <c r="I224" s="9"/>
      <c r="J224" s="9"/>
      <c r="M224" s="13"/>
      <c r="N224" s="9"/>
      <c r="O224" s="13"/>
      <c r="P224" s="13"/>
      <c r="Q224" s="15"/>
      <c r="R224" s="15"/>
      <c r="S224" s="15"/>
      <c r="AF224" s="15"/>
      <c r="AG224" s="15"/>
      <c r="AH224" s="15"/>
    </row>
    <row r="225" spans="1:34" x14ac:dyDescent="0.25">
      <c r="A225" s="9"/>
      <c r="E225" s="9"/>
      <c r="F225" s="9"/>
      <c r="H225" s="9"/>
      <c r="I225" s="9"/>
      <c r="J225" s="9"/>
      <c r="M225" s="13"/>
      <c r="N225" s="9"/>
      <c r="O225" s="13"/>
      <c r="P225" s="13"/>
      <c r="Q225" s="15"/>
      <c r="R225" s="15"/>
      <c r="S225" s="15"/>
      <c r="AF225" s="15"/>
      <c r="AG225" s="15"/>
      <c r="AH225" s="15"/>
    </row>
    <row r="226" spans="1:34" x14ac:dyDescent="0.25">
      <c r="A226" s="9"/>
      <c r="E226" s="9"/>
      <c r="F226" s="9"/>
      <c r="H226" s="9"/>
      <c r="I226" s="9"/>
      <c r="J226" s="9"/>
      <c r="L226" s="13"/>
      <c r="M226" s="13"/>
      <c r="N226" s="9"/>
      <c r="O226" s="13"/>
      <c r="P226" s="13"/>
      <c r="Q226" s="15"/>
      <c r="R226" s="15"/>
      <c r="S226" s="15"/>
      <c r="AF226" s="15"/>
      <c r="AG226" s="15"/>
      <c r="AH226" s="15"/>
    </row>
    <row r="227" spans="1:34" x14ac:dyDescent="0.25">
      <c r="A227" s="9"/>
      <c r="E227" s="9"/>
      <c r="F227" s="9"/>
      <c r="H227" s="9"/>
      <c r="I227" s="9"/>
      <c r="J227" s="9"/>
      <c r="M227" s="13"/>
      <c r="N227" s="9"/>
      <c r="O227" s="13"/>
      <c r="P227" s="13"/>
      <c r="Q227" s="15"/>
      <c r="R227" s="15"/>
      <c r="S227" s="15"/>
      <c r="AF227" s="15"/>
      <c r="AG227" s="15"/>
      <c r="AH227" s="15"/>
    </row>
    <row r="228" spans="1:34" x14ac:dyDescent="0.25">
      <c r="A228" s="9"/>
      <c r="E228" s="9"/>
      <c r="F228" s="9"/>
      <c r="H228" s="9"/>
      <c r="I228" s="9"/>
      <c r="J228" s="9"/>
      <c r="M228" s="13"/>
      <c r="N228" s="9"/>
      <c r="O228" s="13"/>
      <c r="P228" s="13"/>
      <c r="Q228" s="15"/>
      <c r="R228" s="15"/>
      <c r="S228" s="15"/>
      <c r="AF228" s="15"/>
      <c r="AG228" s="15"/>
      <c r="AH228" s="15"/>
    </row>
    <row r="229" spans="1:34" x14ac:dyDescent="0.25">
      <c r="A229" s="9"/>
      <c r="E229" s="9"/>
      <c r="F229" s="9"/>
      <c r="H229" s="9"/>
      <c r="I229" s="9"/>
      <c r="J229" s="9"/>
      <c r="M229" s="13"/>
      <c r="N229" s="9"/>
      <c r="O229" s="13"/>
      <c r="P229" s="13"/>
      <c r="Q229" s="15"/>
      <c r="R229" s="15"/>
      <c r="S229" s="15"/>
      <c r="AF229" s="15"/>
      <c r="AG229" s="15"/>
      <c r="AH229" s="15"/>
    </row>
    <row r="230" spans="1:34" x14ac:dyDescent="0.25">
      <c r="A230" s="9"/>
      <c r="E230" s="9"/>
      <c r="F230" s="9"/>
      <c r="H230" s="9"/>
      <c r="I230" s="9"/>
      <c r="J230" s="9"/>
      <c r="M230" s="13"/>
      <c r="N230" s="9"/>
      <c r="O230" s="13"/>
      <c r="P230" s="13"/>
      <c r="Q230" s="15"/>
      <c r="R230" s="15"/>
      <c r="S230" s="15"/>
      <c r="AF230" s="15"/>
      <c r="AG230" s="15"/>
      <c r="AH230" s="15"/>
    </row>
    <row r="231" spans="1:34" x14ac:dyDescent="0.25">
      <c r="A231" s="9"/>
      <c r="E231" s="9"/>
      <c r="F231" s="9"/>
      <c r="H231" s="9"/>
      <c r="I231" s="9"/>
      <c r="J231" s="9"/>
      <c r="L231" s="13"/>
      <c r="M231" s="13"/>
      <c r="N231" s="9"/>
      <c r="O231" s="13"/>
      <c r="P231" s="13"/>
      <c r="Q231" s="15"/>
      <c r="R231" s="15"/>
      <c r="S231" s="15"/>
      <c r="AF231" s="15"/>
      <c r="AG231" s="15"/>
      <c r="AH231" s="15"/>
    </row>
    <row r="232" spans="1:34" x14ac:dyDescent="0.25">
      <c r="A232" s="9"/>
      <c r="E232" s="9"/>
      <c r="F232" s="9"/>
      <c r="H232" s="9"/>
      <c r="I232" s="9"/>
      <c r="J232" s="9"/>
      <c r="M232" s="13"/>
      <c r="N232" s="9"/>
      <c r="O232" s="13"/>
      <c r="P232" s="13"/>
      <c r="Q232" s="15"/>
      <c r="R232" s="15"/>
      <c r="S232" s="15"/>
      <c r="AF232" s="15"/>
      <c r="AG232" s="15"/>
      <c r="AH232" s="15"/>
    </row>
    <row r="233" spans="1:34" x14ac:dyDescent="0.25">
      <c r="A233" s="9"/>
      <c r="C233" s="9"/>
      <c r="E233" s="9"/>
      <c r="F233" s="9"/>
      <c r="H233" s="9"/>
      <c r="I233" s="9"/>
      <c r="J233" s="9"/>
      <c r="M233" s="13"/>
      <c r="N233" s="9"/>
      <c r="O233" s="13"/>
      <c r="P233" s="13"/>
      <c r="Q233" s="15"/>
      <c r="R233" s="15"/>
      <c r="S233" s="15"/>
      <c r="AF233" s="15"/>
      <c r="AG233" s="15"/>
      <c r="AH233" s="15"/>
    </row>
    <row r="234" spans="1:34" x14ac:dyDescent="0.25">
      <c r="A234" s="9"/>
      <c r="E234" s="9"/>
      <c r="F234" s="9"/>
      <c r="H234" s="9"/>
      <c r="I234" s="9"/>
      <c r="J234" s="9"/>
      <c r="M234" s="13"/>
      <c r="N234" s="9"/>
      <c r="O234" s="13"/>
      <c r="P234" s="13"/>
      <c r="Q234" s="13"/>
    </row>
    <row r="235" spans="1:34" x14ac:dyDescent="0.25">
      <c r="A235" s="9"/>
      <c r="E235" s="9"/>
      <c r="F235" s="9"/>
      <c r="H235" s="9"/>
      <c r="I235" s="9"/>
      <c r="J235" s="9"/>
      <c r="M235" s="13"/>
      <c r="N235" s="9"/>
      <c r="O235" s="13"/>
      <c r="P235" s="13"/>
      <c r="Q235" s="13"/>
    </row>
    <row r="236" spans="1:34" x14ac:dyDescent="0.25">
      <c r="A236" s="9"/>
      <c r="E236" s="9"/>
      <c r="F236" s="9"/>
      <c r="H236" s="9"/>
      <c r="I236" s="9"/>
      <c r="J236" s="9"/>
      <c r="M236" s="13"/>
      <c r="N236" s="9"/>
      <c r="O236" s="13"/>
      <c r="P236" s="13"/>
      <c r="Q236" s="13"/>
    </row>
    <row r="237" spans="1:34" x14ac:dyDescent="0.25">
      <c r="A237" s="9"/>
      <c r="E237" s="9"/>
      <c r="F237" s="9"/>
      <c r="H237" s="9"/>
      <c r="I237" s="9"/>
      <c r="J237" s="9"/>
      <c r="M237" s="13"/>
      <c r="N237" s="9"/>
      <c r="O237" s="13"/>
      <c r="P237" s="13"/>
      <c r="Q237" s="13"/>
    </row>
    <row r="238" spans="1:34" x14ac:dyDescent="0.25">
      <c r="E238" s="9"/>
      <c r="F238" s="9"/>
      <c r="H238" s="9"/>
      <c r="I238" s="9"/>
      <c r="J238" s="9"/>
      <c r="M238" s="13"/>
      <c r="N238" s="9"/>
      <c r="O238" s="13"/>
      <c r="P238" s="13"/>
      <c r="Q238" s="13"/>
    </row>
    <row r="239" spans="1:34" x14ac:dyDescent="0.25">
      <c r="A239" s="9"/>
      <c r="E239" s="9"/>
      <c r="F239" s="9"/>
      <c r="H239" s="9"/>
      <c r="I239" s="9"/>
      <c r="J239" s="9"/>
      <c r="M239" s="13"/>
      <c r="N239" s="9"/>
      <c r="O239" s="13"/>
      <c r="P239" s="13"/>
      <c r="Q239" s="13"/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13</vt:i4>
      </vt:variant>
    </vt:vector>
  </HeadingPairs>
  <TitlesOfParts>
    <vt:vector size="14" baseType="lpstr">
      <vt:lpstr>Sheet1</vt:lpstr>
      <vt:lpstr>T1-FrictionForce</vt:lpstr>
      <vt:lpstr>T2-FrictionForce</vt:lpstr>
      <vt:lpstr>T3-FrictionForce</vt:lpstr>
      <vt:lpstr>T4-FrictionForce</vt:lpstr>
      <vt:lpstr>T5-FrictionForce</vt:lpstr>
      <vt:lpstr>FrictionForce</vt:lpstr>
      <vt:lpstr>ContactLength</vt:lpstr>
      <vt:lpstr>COF</vt:lpstr>
      <vt:lpstr>AREA_60E_Test1</vt:lpstr>
      <vt:lpstr>AREA_60E_Test2</vt:lpstr>
      <vt:lpstr>AREA_60E_Test3</vt:lpstr>
      <vt:lpstr>AREA_60E_Test4</vt:lpstr>
      <vt:lpstr>AREA_60E_Test5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dmm65</dc:creator>
  <cp:lastModifiedBy>Daniel Mulvihill</cp:lastModifiedBy>
  <cp:lastPrinted>2015-11-18T16:08:05Z</cp:lastPrinted>
  <dcterms:created xsi:type="dcterms:W3CDTF">2015-04-15T13:57:58Z</dcterms:created>
  <dcterms:modified xsi:type="dcterms:W3CDTF">2016-08-22T09:30:58Z</dcterms:modified>
</cp:coreProperties>
</file>